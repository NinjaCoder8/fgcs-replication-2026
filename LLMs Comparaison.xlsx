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3" sheetId="1" r:id="rId4"/>
    <sheet state="visible" name="o4-mini" sheetId="2" r:id="rId5"/>
    <sheet state="visible" name="gpt 4o temp 0" sheetId="3" r:id="rId6"/>
    <sheet state="visible" name="gpt 4o temp 0.7" sheetId="4" r:id="rId7"/>
    <sheet state="visible" name="claude sonnet temp 0" sheetId="5" r:id="rId8"/>
    <sheet state="visible" name="claude sonnet temp 0.7" sheetId="6" r:id="rId9"/>
    <sheet state="visible" name="claude sonnet thinking" sheetId="7" r:id="rId10"/>
    <sheet state="visible" name="deepseek v3 temp 0" sheetId="8" r:id="rId11"/>
    <sheet state="visible" name="deepseek v3 temp 0.7" sheetId="9" r:id="rId12"/>
    <sheet state="visible" name="deepseek v3 thinking " sheetId="10" r:id="rId13"/>
    <sheet state="visible" name="gemini 2.5 flash temp 0 " sheetId="11" r:id="rId14"/>
    <sheet state="visible" name="gemini 2.5 flash temp 0.7" sheetId="12" r:id="rId15"/>
    <sheet state="visible" name="gemini 2.5 flash thinking" sheetId="13" r:id="rId16"/>
  </sheets>
  <definedNames/>
  <calcPr/>
  <extLst>
    <ext uri="GoogleSheetsCustomDataVersion2">
      <go:sheetsCustomData xmlns:go="http://customooxmlschemas.google.com/" r:id="rId17" roundtripDataChecksum="fdZ7lhrVMWeQhm7Z4RO8yRk6d2tdXtvFPXApbFt6p6A="/>
    </ext>
  </extLst>
</workbook>
</file>

<file path=xl/sharedStrings.xml><?xml version="1.0" encoding="utf-8"?>
<sst xmlns="http://schemas.openxmlformats.org/spreadsheetml/2006/main" count="2645" uniqueCount="700">
  <si>
    <t>o3</t>
  </si>
  <si>
    <t>Run 1</t>
  </si>
  <si>
    <t>Dimension</t>
  </si>
  <si>
    <t>List of Actors</t>
  </si>
  <si>
    <t>Proposed Leading Actor</t>
  </si>
  <si>
    <t>Business &amp; Product Strategy</t>
  </si>
  <si>
    <t>Business Stakeholder, Manager</t>
  </si>
  <si>
    <t>Business Stakeholder</t>
  </si>
  <si>
    <t>Domain Knowledge &amp; Scientific Research</t>
  </si>
  <si>
    <t>Domain Expert, Scientist</t>
  </si>
  <si>
    <t>Domain Expert</t>
  </si>
  <si>
    <t>Solution Architecture &amp; System Design</t>
  </si>
  <si>
    <t>Solution Architect</t>
  </si>
  <si>
    <t>Data Engineering &amp; Stewardship</t>
  </si>
  <si>
    <t>Data Engineer, Data Steward</t>
  </si>
  <si>
    <t>Data Engineer</t>
  </si>
  <si>
    <t>ML Modeling &amp; Development</t>
  </si>
  <si>
    <t>Data Scientist, ML Engineer / Developer</t>
  </si>
  <si>
    <t>ML Engineer / Developer</t>
  </si>
  <si>
    <t>Software &amp; Application Engineering</t>
  </si>
  <si>
    <t>Software Developer, Software Engineer, Application Developer</t>
  </si>
  <si>
    <t>Software Engineer</t>
  </si>
  <si>
    <t>Infrastructure, Deployment &amp; Operations</t>
  </si>
  <si>
    <t>DevOps Engineer, MLOps Engineer, Operations Engineer, IT Operations / Professional</t>
  </si>
  <si>
    <t>MLOps Engineer</t>
  </si>
  <si>
    <t>Run 2</t>
  </si>
  <si>
    <t>---------</t>
  </si>
  <si>
    <t>--------------------------</t>
  </si>
  <si>
    <t>----------------------</t>
  </si>
  <si>
    <t>Business &amp; Strategy</t>
  </si>
  <si>
    <t>Business Stakeholder, Manager, Domain Expert</t>
  </si>
  <si>
    <t>Architecture &amp; Governance</t>
  </si>
  <si>
    <t>Data Engineering &amp; Management</t>
  </si>
  <si>
    <t>Modeling &amp; Experimentation</t>
  </si>
  <si>
    <t>Data Scientist, Scientist, ML Engineer / Developer</t>
  </si>
  <si>
    <t>Data Scientist</t>
  </si>
  <si>
    <t>Application Development</t>
  </si>
  <si>
    <t>Production Operations (DevOps / MLOps)</t>
  </si>
  <si>
    <t>Run 3</t>
  </si>
  <si>
    <t>----------------------------------------</t>
  </si>
  <si>
    <t>----------------------------------------------------------------------------------------------------------------</t>
  </si>
  <si>
    <t>-----------------------</t>
  </si>
  <si>
    <t xml:space="preserve">Business &amp; Domain Strategy              </t>
  </si>
  <si>
    <t xml:space="preserve">Business Stakeholder, Manager, Domain Expert                                                                    </t>
  </si>
  <si>
    <t xml:space="preserve">Architecture &amp; System Design           </t>
  </si>
  <si>
    <t xml:space="preserve">Solution Architect                                                                                              </t>
  </si>
  <si>
    <t xml:space="preserve">Data &amp; Analytics                        </t>
  </si>
  <si>
    <t xml:space="preserve">Data Scientist, Data Engineer, Data Steward, Scientist                                                          </t>
  </si>
  <si>
    <t xml:space="preserve">Application / Software Development      </t>
  </si>
  <si>
    <t xml:space="preserve">Software Developer, Software Engineer, Application Developer                                                    </t>
  </si>
  <si>
    <t xml:space="preserve">ML Engineering &amp; Platform               </t>
  </si>
  <si>
    <t xml:space="preserve">ML Engineer / Developer, MLOps Engineer                                                                         </t>
  </si>
  <si>
    <t xml:space="preserve">Operations &amp; Infrastructure             </t>
  </si>
  <si>
    <t xml:space="preserve">DevOps Engineer, Operations Engineer, IT Operations / Professional                                              </t>
  </si>
  <si>
    <t>DevOps Engineer</t>
  </si>
  <si>
    <t>Run 4</t>
  </si>
  <si>
    <t>Business &amp; Domain Strategy</t>
  </si>
  <si>
    <t>• Business Stakeholder  • Manager  • Domain Expert</t>
  </si>
  <si>
    <t>Solution Architecture &amp; Design</t>
  </si>
  <si>
    <t>• Solution Architect</t>
  </si>
  <si>
    <t>Data Engineering &amp; Governance</t>
  </si>
  <si>
    <t>• Data Engineer  • Data Steward</t>
  </si>
  <si>
    <t>• Data Scientist  • Scientist  • ML Engineer / Developer</t>
  </si>
  <si>
    <t>Software Development</t>
  </si>
  <si>
    <t>• Software Developer  • Software Engineer  • Application Developer</t>
  </si>
  <si>
    <t>ML Platform, CI/CD &amp; Deployment</t>
  </si>
  <si>
    <t>• DevOps Engineer  • MLOps Engineer</t>
  </si>
  <si>
    <t>Operations &amp; Runtime Support</t>
  </si>
  <si>
    <t>• Operations Engineer  • IT Operations / Professional</t>
  </si>
  <si>
    <t>IT Operations / Professional</t>
  </si>
  <si>
    <t>Run 5</t>
  </si>
  <si>
    <t>Domain / Subject-Matter Expertise</t>
  </si>
  <si>
    <t>Research &amp; Modeling</t>
  </si>
  <si>
    <t>Data Scientist, Scientist</t>
  </si>
  <si>
    <t>Architecture &amp; ML Engineering</t>
  </si>
  <si>
    <t>Solution Architect, ML Engineer / Developer</t>
  </si>
  <si>
    <t>DevOps &amp; Platform Operations</t>
  </si>
  <si>
    <t>Run 6</t>
  </si>
  <si>
    <t>Business Strategy &amp; Stakeholder Management</t>
  </si>
  <si>
    <t>Domain Expertise &amp; Scientific Research</t>
  </si>
  <si>
    <t>Analytics &amp; Modeling</t>
  </si>
  <si>
    <t>Solution &amp; System Architecture</t>
  </si>
  <si>
    <t>Machine-Learning Engineering</t>
  </si>
  <si>
    <t>Operations, DevOps &amp; MLOps</t>
  </si>
  <si>
    <t>Run 7</t>
  </si>
  <si>
    <t>---------------------</t>
  </si>
  <si>
    <t>Business &amp; Leadership</t>
  </si>
  <si>
    <t>Domain Expertise</t>
  </si>
  <si>
    <t>Architecture &amp; Design</t>
  </si>
  <si>
    <t>Data Management &amp; Analytics</t>
  </si>
  <si>
    <t>Data Scientist, Data Engineer, Data Steward</t>
  </si>
  <si>
    <t>Operations &amp; Infrastructure</t>
  </si>
  <si>
    <t>Run 8</t>
  </si>
  <si>
    <t>Run 9</t>
  </si>
  <si>
    <t>Business &amp; Domain Governance</t>
  </si>
  <si>
    <t>Business Stakeholder, Domain Expert, Manager</t>
  </si>
  <si>
    <t>Scientific Research &amp; Modeling</t>
  </si>
  <si>
    <t>Software/Application Development</t>
  </si>
  <si>
    <t>DevOps &amp; Infrastructure Operations</t>
  </si>
  <si>
    <t>DevOps Engineer, Operations Engineer, IT Operations / Professional</t>
  </si>
  <si>
    <t>MLOps (ML-focused Operations)</t>
  </si>
  <si>
    <t>Run 10</t>
  </si>
  <si>
    <t>Business &amp; Domain Leadership</t>
  </si>
  <si>
    <t>Data Management &amp; Governance</t>
  </si>
  <si>
    <t>Modeling &amp; Research</t>
  </si>
  <si>
    <t>ML Engineering &amp; Solution Design</t>
  </si>
  <si>
    <t>ML Engineer / Developer, Solution Architect</t>
  </si>
  <si>
    <t>Operations &amp; Platform (DevOps / MLOps)</t>
  </si>
  <si>
    <t>o4-mini</t>
  </si>
  <si>
    <t xml:space="preserve">1. Business &amp; Strategy              </t>
  </si>
  <si>
    <t xml:space="preserve">Business Stakeholder, Manager, Solution Architect                        </t>
  </si>
  <si>
    <t xml:space="preserve">2. Domain &amp; Compliance              </t>
  </si>
  <si>
    <t xml:space="preserve">Domain Expert, Scientist, Data Steward                                   </t>
  </si>
  <si>
    <t xml:space="preserve">3. Data Management &amp; Engineering    </t>
  </si>
  <si>
    <t xml:space="preserve">Data Engineer, Data Scientist                                            </t>
  </si>
  <si>
    <t xml:space="preserve">4. Model &amp; Software Development     </t>
  </si>
  <si>
    <t>ML Engineer/Developer, Software Developer, Software Engineer, Application Developer</t>
  </si>
  <si>
    <t>ML Engineer/Developer</t>
  </si>
  <si>
    <t xml:space="preserve">5. Operations &amp; Deployment          </t>
  </si>
  <si>
    <t>DevOps Engineer, MLOps Engineer, Operations Engineer, IT Operations/Professional</t>
  </si>
  <si>
    <t>-------------------------------------------------------------------------------</t>
  </si>
  <si>
    <t xml:space="preserve">Business &amp; Strategy    </t>
  </si>
  <si>
    <t xml:space="preserve">Business Stakeholder, Manager, Domain Expert                                   </t>
  </si>
  <si>
    <t xml:space="preserve">Data &amp; Governance      </t>
  </si>
  <si>
    <t xml:space="preserve">Data Scientist, Scientist, Data Engineer, Data Steward                         </t>
  </si>
  <si>
    <t xml:space="preserve">Solution Architecture  </t>
  </si>
  <si>
    <t>Solution Architect, Software Developer, Software Engineer, Application Developer</t>
  </si>
  <si>
    <t xml:space="preserve">MLOps &amp; Operations     </t>
  </si>
  <si>
    <t xml:space="preserve">Business &amp; Domain      </t>
  </si>
  <si>
    <t xml:space="preserve">Business Stakeholder; Manager; Domain Expert                                    </t>
  </si>
  <si>
    <t xml:space="preserve">Data Management        </t>
  </si>
  <si>
    <t xml:space="preserve">Data Engineer; Data Steward;                       </t>
  </si>
  <si>
    <t xml:space="preserve">ML Development         </t>
  </si>
  <si>
    <t xml:space="preserve">Data Scientist; Scientist; ML Engineer / Developer                              </t>
  </si>
  <si>
    <t xml:space="preserve">Software Development   </t>
  </si>
  <si>
    <t>Solution Architect; Software Developer; Software Engineer; Application Developer</t>
  </si>
  <si>
    <t>Operations &amp; Deployment</t>
  </si>
  <si>
    <t>DevOps Engineer; MLOps Engineer; Operations Engineer; IT Operations / Professional| MLOps Engineer</t>
  </si>
  <si>
    <t>-----------------------------</t>
  </si>
  <si>
    <t>--------------------------------------------------------------------------------</t>
  </si>
  <si>
    <t xml:space="preserve">1. Business &amp; Strategy       </t>
  </si>
  <si>
    <t xml:space="preserve">Business Stakeholder, Manager                                                  </t>
  </si>
  <si>
    <t xml:space="preserve">2. Domain Expertise          </t>
  </si>
  <si>
    <t xml:space="preserve">Domain Expert, Data Steward                                                     </t>
  </si>
  <si>
    <t>3. Data Engineering &amp; Science</t>
  </si>
  <si>
    <t xml:space="preserve">Data Engineer, Data Scientist, Scientist                                       </t>
  </si>
  <si>
    <t xml:space="preserve">4. ML Model Development      </t>
  </si>
  <si>
    <t xml:space="preserve">ML Engineer / Developer, Data Scientist, Scientist                             </t>
  </si>
  <si>
    <t>5. Software &amp; Solution Design</t>
  </si>
  <si>
    <t xml:space="preserve">6. Deployment &amp; Operations   </t>
  </si>
  <si>
    <t xml:space="preserve">1. Strategy &amp; Governance    </t>
  </si>
  <si>
    <t xml:space="preserve">Business Stakeholder, Solution Architect, Manager                          </t>
  </si>
  <si>
    <t xml:space="preserve">2. Domain &amp; Data Ownership  </t>
  </si>
  <si>
    <t xml:space="preserve">Domain Expert, Data Steward, Manager                                       </t>
  </si>
  <si>
    <t xml:space="preserve">3. Data Engineering &amp; Ops   </t>
  </si>
  <si>
    <t xml:space="preserve">Data Engineer, Operations Engineer, IT Operations/Professional             </t>
  </si>
  <si>
    <t>4. ML Research &amp; Development</t>
  </si>
  <si>
    <t xml:space="preserve">Data Scientist, Scientist, ML Engineer/Developer                           </t>
  </si>
  <si>
    <t xml:space="preserve">5. Software &amp; Application Dev| Software Developer, Software Engineer, Application Developer               </t>
  </si>
  <si>
    <t xml:space="preserve">6. MLOps &amp; Continuous Delivery| DevOps Engineer, MLOps Engineer, Operations Engineer                     </t>
  </si>
  <si>
    <t>---------------</t>
  </si>
  <si>
    <t>Data Governance</t>
  </si>
  <si>
    <t>Domain Expert, Data Steward</t>
  </si>
  <si>
    <t>Data Steward</t>
  </si>
  <si>
    <t>Data Engineering</t>
  </si>
  <si>
    <t>Data Science &amp; Modeling</t>
  </si>
  <si>
    <t>Software Engineering &amp; Architecture</t>
  </si>
  <si>
    <t>Software Developer, Software Engineer, Application Developer, Solution Architect</t>
  </si>
  <si>
    <t>MLOps &amp; Operations</t>
  </si>
  <si>
    <t>ML Engineer/Developer, DevOps Engineer, MLOps Engineer, Operations Engineer, IT Operations/Professional</t>
  </si>
  <si>
    <t xml:space="preserve">1. Business &amp; Strategy </t>
  </si>
  <si>
    <t xml:space="preserve">Business Stakeholder, Manager, Solution Architect                                                   </t>
  </si>
  <si>
    <t xml:space="preserve">2. Domain &amp; Compliance </t>
  </si>
  <si>
    <t xml:space="preserve">Domain Expert, Data Steward, Scientist                                                              </t>
  </si>
  <si>
    <t xml:space="preserve">3. Data &amp; Engineering  </t>
  </si>
  <si>
    <t xml:space="preserve">Data Engineer, Data Steward (overlaps), IT Operations / Professional                                 </t>
  </si>
  <si>
    <t xml:space="preserve">4. Model Development   </t>
  </si>
  <si>
    <t>Data Scientist, ML Engineer / Developer, Software Developer, Software Engineer, Application Developer| Data Scientist</t>
  </si>
  <si>
    <t xml:space="preserve">5. Deployment &amp; Ops    </t>
  </si>
  <si>
    <t xml:space="preserve">DevOps Engineer, MLOps Engineer, Operations Engineer, IT Operations / Professional                   </t>
  </si>
  <si>
    <t xml:space="preserve">Business Strategy      </t>
  </si>
  <si>
    <t xml:space="preserve">Business Stakeholder, Manager, Domain Expert                                 </t>
  </si>
  <si>
    <t xml:space="preserve">Data Engineer, Data Steward, Data Scientist                                  </t>
  </si>
  <si>
    <t xml:space="preserve">Modeling &amp; Experiment  </t>
  </si>
  <si>
    <t xml:space="preserve">Scientist, Data Scientist, ML Engineer / Developer                           </t>
  </si>
  <si>
    <t xml:space="preserve">Software Delivery      </t>
  </si>
  <si>
    <t xml:space="preserve">Software Developer, Software Engineer, Application Developer                 </t>
  </si>
  <si>
    <t xml:space="preserve">Infrastructure &amp; Ops   </t>
  </si>
  <si>
    <t xml:space="preserve">Solution Architect                                                           </t>
  </si>
  <si>
    <t xml:space="preserve">Architecture &amp; Design  </t>
  </si>
  <si>
    <t xml:space="preserve">Solution Architect                                                             </t>
  </si>
  <si>
    <t xml:space="preserve">Data Engineer, Data Scientist, Data Steward                             </t>
  </si>
  <si>
    <t xml:space="preserve">Model R&amp;D &amp; Validation  </t>
  </si>
  <si>
    <t xml:space="preserve">Scientist, Data Scientist, ML Engineer/Developer                               </t>
  </si>
  <si>
    <t>Application &amp; Software Development</t>
  </si>
  <si>
    <t xml:space="preserve">Software Developer, Software Engineer, Application Developer     </t>
  </si>
  <si>
    <t xml:space="preserve">Deployment &amp; Operations </t>
  </si>
  <si>
    <t>----------------------------</t>
  </si>
  <si>
    <t>-------------------------------------------------------------------------------------------</t>
  </si>
  <si>
    <t xml:space="preserve">Business &amp; Domain           </t>
  </si>
  <si>
    <t xml:space="preserve">Business Stakeholder, Manager, Domain Expert                                               </t>
  </si>
  <si>
    <t xml:space="preserve">Solution &amp; System Design    </t>
  </si>
  <si>
    <t xml:space="preserve">Solution Architect                                                                         </t>
  </si>
  <si>
    <t xml:space="preserve">Data &amp; DataOps              </t>
  </si>
  <si>
    <t xml:space="preserve">Data Engineer, Data Steward                                                                </t>
  </si>
  <si>
    <t xml:space="preserve">Modeling &amp; Data Science     </t>
  </si>
  <si>
    <t xml:space="preserve">Data Scientist, Scientist                                                                  </t>
  </si>
  <si>
    <t>ML Engineering &amp; SW Delivery</t>
  </si>
  <si>
    <t xml:space="preserve">ML Engineer / Developer, Software Developer, Software Engineer, Application Developer      </t>
  </si>
  <si>
    <t xml:space="preserve">DevOps &amp; MLOps Operations   </t>
  </si>
  <si>
    <t xml:space="preserve">DevOps Engineer, MLOps Engineer, Operations Engineer, IT Operations / Professional         </t>
  </si>
  <si>
    <t>gpt 4o temp = 0</t>
  </si>
  <si>
    <t>Business</t>
  </si>
  <si>
    <t>Data</t>
  </si>
  <si>
    <t>Data Scientist, Data Engineer, Data Steward, Scientist</t>
  </si>
  <si>
    <t>Development</t>
  </si>
  <si>
    <t>ML Engineer / Developer, Software Developer, Software Engineer, Application Developer</t>
  </si>
  <si>
    <t>Operations</t>
  </si>
  <si>
    <t>Solution Architect, Domain Expert</t>
  </si>
  <si>
    <t>Solution Architect, ML Engineer / Developer, Software Developer, Software Engineer, Application Developer</t>
  </si>
  <si>
    <t>Solution Architecture</t>
  </si>
  <si>
    <t>Data Management</t>
  </si>
  <si>
    <t>Scientific Research</t>
  </si>
  <si>
    <t>Scientist, Data Scientist</t>
  </si>
  <si>
    <t>Scientist</t>
  </si>
  <si>
    <t>Machine Learning</t>
  </si>
  <si>
    <t>ML Engineer / Developer, Data Scientist</t>
  </si>
  <si>
    <t>Solution Architect, ML Engineer / Developer, Software Architect</t>
  </si>
  <si>
    <t>Data Scientist, ML Engineer / Developer, Scientist</t>
  </si>
  <si>
    <t>Business Strategy</t>
  </si>
  <si>
    <t>Solution Architect, Software Architect</t>
  </si>
  <si>
    <t>gpt 4o temp = 0.7</t>
  </si>
  <si>
    <t>Business and Strategy</t>
  </si>
  <si>
    <t>Solution Architect, ML Engineer / Developer, Software Engineer, Application Developer</t>
  </si>
  <si>
    <t>Operations and DevOps</t>
  </si>
  <si>
    <t>Engineering</t>
  </si>
  <si>
    <t>Data Science</t>
  </si>
  <si>
    <t>Data Scientist, Scientist, Data Engineer, Data Steward</t>
  </si>
  <si>
    <t>Solution Architect, Software Developer, Software Engineer, Application Developer, ML Engineer / Developer</t>
  </si>
  <si>
    <t>Business Stakeholder, Manager, Solution Architect</t>
  </si>
  <si>
    <t>Data and Domain Expertise</t>
  </si>
  <si>
    <t>Domain Expert, Data Scientist, Data Engineer, Data Steward, Scientist</t>
  </si>
  <si>
    <t>Machine Learning Development</t>
  </si>
  <si>
    <t>Software Development and Engineering</t>
  </si>
  <si>
    <t>Operations and Infrastructure</t>
  </si>
  <si>
    <t>Business/Strategy</t>
  </si>
  <si>
    <t>Data Scientist, Data Engineer, Data Steward, Domain Expert</t>
  </si>
  <si>
    <t>Model Development</t>
  </si>
  <si>
    <t>Software Engineering</t>
  </si>
  <si>
    <t>Operations/Infrastructure</t>
  </si>
  <si>
    <t>Solution Design and Architecture</t>
  </si>
  <si>
    <t>Data Management and Engineering</t>
  </si>
  <si>
    <t>Architecture and Design</t>
  </si>
  <si>
    <t>Data Engineer, Data Steward, Data Scientist</t>
  </si>
  <si>
    <t>Development and Software Engineering</t>
  </si>
  <si>
    <t>Machine Learning and Model Development</t>
  </si>
  <si>
    <t>ML Engineer / Developer, Scientist (Machine Learning Scientist)</t>
  </si>
  <si>
    <t>Operations and Deployment</t>
  </si>
  <si>
    <t>Business and Strategic Planning</t>
  </si>
  <si>
    <t>Model Development and Research</t>
  </si>
  <si>
    <t>Software Development and Integration</t>
  </si>
  <si>
    <t>MLOps and Continuous Improvement</t>
  </si>
  <si>
    <t>Solution Architect, MLOps Engineer</t>
  </si>
  <si>
    <t>Solution Architect, Software Engineer</t>
  </si>
  <si>
    <t>Business Strategy and Alignment</t>
  </si>
  <si>
    <t>Data Management and Governance</t>
  </si>
  <si>
    <t>Data Engineer, Data Steward, Domain Expert</t>
  </si>
  <si>
    <t>Software and Infrastructure Development</t>
  </si>
  <si>
    <t>claude sonnet temp = 0</t>
  </si>
  <si>
    <t>**Dimension**</t>
  </si>
  <si>
    <t>**List of Actors**</t>
  </si>
  <si>
    <t>**Proposed Leading Actor**</t>
  </si>
  <si>
    <t>**Business &amp; Strategy** *(Actors focused on business goals, requirements, governance, and strategic alignment)*</t>
  </si>
  <si>
    <t>**Data Management &amp; Governance** *(Actors responsible for data pipelines, quality, stewardship, and data infrastructure)*</t>
  </si>
  <si>
    <t>Data Engineer, Data Steward, Scientist</t>
  </si>
  <si>
    <t>**Modeling &amp; Research** *(Actors focused on model design, experimentation, research, and algorithm development)*</t>
  </si>
  <si>
    <t>Data Scientist, Domain Expert, Scientist</t>
  </si>
  <si>
    <t>**Architecture &amp; Design** *(Actors responsible for system design, technical blueprints, and solution planning)*</t>
  </si>
  <si>
    <t>Solution Architect, Software Engineer, Software Developer, Application Developer</t>
  </si>
  <si>
    <t>**ML Development &amp; Engineering** *(Actors building, training, packaging, and deploying ML models into production)*</t>
  </si>
  <si>
    <t>ML Engineer / Developer, MLOps Engineer, Data Scientist</t>
  </si>
  <si>
    <t>**Infrastructure &amp; Operations** *(Actors managing deployment pipelines, CI/CD, infrastructure, monitoring, and IT systems)*</t>
  </si>
  <si>
    <t>**Business &amp; Strategy** *(Actors focused on organizational goals, requirements, ROI, and strategic alignment)*</t>
  </si>
  <si>
    <t>**Architecture &amp; Domain Knowledge** *(Actors responsible for system design, domain expertise, and solution framing)*</t>
  </si>
  <si>
    <t>**Data Management &amp; Governance** *(Actors focused on data pipelines, quality, access, and stewardship)*</t>
  </si>
  <si>
    <t>**Research &amp; Experimentation** *(Actors focused on scientific inquiry, model development, and experimentation)*</t>
  </si>
  <si>
    <t>**ML Engineering &amp; Development** *(Actors focused on building, training, deploying, and maintaining ML models and applications)*</t>
  </si>
  <si>
    <t>**Infrastructure &amp; Operations** *(Actors focused on deployment pipelines, automation, system reliability, and IT infrastructure)*</t>
  </si>
  <si>
    <t>**Data &amp; Knowledge** *(Actors focused on data lifecycle, data quality, data governance, and domain knowledge)*</t>
  </si>
  <si>
    <t>**ML Modeling &amp; Development** *(Actors focused on building, training, evaluating, and deploying ML models and applications)*</t>
  </si>
  <si>
    <t>**Architecture &amp; Design** *(Actors focused on system design, technical architecture, and solution planning)*</t>
  </si>
  <si>
    <t>**Operations &amp; Infrastructure** *(Actors focused on deployment pipelines, infrastructure management, monitoring, and system reliability)*</t>
  </si>
  <si>
    <t>**Business &amp; Strategy** *(Actors focused on organizational goals, ROI, governance, and strategic alignment)*</t>
  </si>
  <si>
    <t>**Domain &amp; Data Knowledge** *(Actors who provide subject-matter expertise, data governance, and scientific insight)*</t>
  </si>
  <si>
    <t>Domain Expert, Data Steward, Scientist</t>
  </si>
  <si>
    <t>**Data &amp; ML Science** *(Actors focused on data pipelines, experimentation, modeling, and analytical workflows)*</t>
  </si>
  <si>
    <t>Data Scientist, Data Engineer</t>
  </si>
  <si>
    <t>**ML Engineering &amp; Development** *(Actors who build, integrate, and productionize ML models and software systems)*</t>
  </si>
  <si>
    <t>**Architecture &amp; Design** *(Actors responsible for system design, technical standards, and end-to-end solution blueprinting)*</t>
  </si>
  <si>
    <t>**Operations &amp; Infrastructure** *(Actors focused on deployment pipelines, system reliability, monitoring, and IT infrastructure)*</t>
  </si>
  <si>
    <t>**Business &amp; Strategy** Actors focused on organizational goals, ROI, requirements, and strategic alignment</t>
  </si>
  <si>
    <t>**Domain &amp; Data Knowledge** Actors who provide subject-matter expertise, data governance, and scientific insight</t>
  </si>
  <si>
    <t>**Data &amp; ML Science** Actors responsible for data pipelines, experimentation, model development, and research</t>
  </si>
  <si>
    <t>**ML Engineering &amp; Development** Actors who build, train, optimize, and productionize ML models and ML-specific software</t>
  </si>
  <si>
    <t>ML Engineer / Developer, Software Developer, Application Developer</t>
  </si>
  <si>
    <t>**Software &amp; Systems Engineering** Actors who design scalable architectures, systems, and software solutions</t>
  </si>
  <si>
    <t>**Deployment &amp; Operations** Actors responsible for CI/CD, infrastructure automation, system reliability, and operational monitoring</t>
  </si>
  <si>
    <t>**Data &amp; ML Science** *(Actors focused on data pipelines, experimentation, modeling, and research)*</t>
  </si>
  <si>
    <t>**ML Engineering &amp; Development** *(Actors who build, integrate, and deploy ML models into software systems)*</t>
  </si>
  <si>
    <t>**Infrastructure &amp; Operations** *(Actors responsible for deployment pipelines, infrastructure reliability, and system operations)*</t>
  </si>
  <si>
    <t>**Domain &amp; Data Knowledge** *(Actors focused on subject matter expertise, data governance, and domain-specific insights)*</t>
  </si>
  <si>
    <t>**Data &amp; ML Research** *(Actors focused on data preparation, experimentation, modeling, and analytical research)*</t>
  </si>
  <si>
    <t>**ML Engineering &amp; Development** *(Actors focused on building, training, deploying, and maintaining ML models and pipelines)*</t>
  </si>
  <si>
    <t>**Infrastructure &amp; Operations** *(Actors focused on deployment pipelines, CI/CD, system reliability, and infrastructure management)*</t>
  </si>
  <si>
    <t>**ML Engineering &amp; Development** *(Actors focused on building, training, deploying, and maintaining ML models)*</t>
  </si>
  <si>
    <t>**Software &amp; Systems Engineering** *(Actors focused on designing and building robust software systems and integrations)*</t>
  </si>
  <si>
    <t>Software Engineer, Software Developer</t>
  </si>
  <si>
    <t>**Deployment &amp; Automation (MLOps/DevOps)** *(Actors focused on CI/CD, automation, model deployment pipelines, and lifecycle management)*</t>
  </si>
  <si>
    <t>DevOps Engineer, MLOps Engineer</t>
  </si>
  <si>
    <t>**Operations &amp; Infrastructure** *(Actors focused on system reliability, monitoring, infrastructure, and IT support)*</t>
  </si>
  <si>
    <t>Operations Engineer, IT Operations / Professional</t>
  </si>
  <si>
    <t>Operations Engineer</t>
  </si>
  <si>
    <t>**Data &amp; Knowledge** *(Actors focused on data management, data quality, stewardship, and scientific research)*</t>
  </si>
  <si>
    <t>**Architecture &amp; Design** *(Actors focused on system design, solution planning, and technical architecture)*</t>
  </si>
  <si>
    <t>**ML Development &amp; Engineering** *(Actors focused on building, training, and deploying machine learning models and pipelines)*</t>
  </si>
  <si>
    <t>**Operations &amp; Infrastructure** *(Actors focused on deployment pipelines, infrastructure, monitoring, and system reliability)*</t>
  </si>
  <si>
    <t>Domain Expert, Scientist, Data Steward</t>
  </si>
  <si>
    <t>**Data &amp; ML Science** Actors responsible for data preparation, analysis, experimentation, and model development</t>
  </si>
  <si>
    <t>**Software &amp; Application Development** Actors focused on building, integrating, and delivering software solutions and applications</t>
  </si>
  <si>
    <t>**ML Engineering &amp; Productionization** Actors responsible for building, packaging, deploying, and maintaining ML models in production</t>
  </si>
  <si>
    <t>ML Engineer / Developer, MLOps Engineer</t>
  </si>
  <si>
    <t>**Infrastructure &amp; Operations** Actors responsible for infrastructure, CI/CD pipelines, system reliability, and IT operations</t>
  </si>
  <si>
    <t>claude sonnet temp = 0.7</t>
  </si>
  <si>
    <t>**Business &amp; Strategy** *(Actors focused on organizational goals, vision, ROI, and strategic decision-making)*</t>
  </si>
  <si>
    <t>**Domain &amp; Data Expertise** *(Actors focused on domain knowledge, data governance, scientific research, and data quality)*</t>
  </si>
  <si>
    <t>**Data &amp; AI Development** *(Actors focused on data pipelines, model building, experimentation, and feature engineering)*</t>
  </si>
  <si>
    <t>**Architecture &amp; Design** *(Actors focused on system design, technical blueprints, and solution planning)*</t>
  </si>
  <si>
    <t>**Software &amp; Application Engineering** *(Actors focused on building, integrating, and delivering software products and applications)*</t>
  </si>
  <si>
    <t>**ML Engineering &amp; Productionization** *(Actors focused on deploying, serving, monitoring, and scaling ML models into production)*</t>
  </si>
  <si>
    <t>**Infrastructure &amp; Operations** *(Actors focused on CI/CD pipelines, system reliability, IT infrastructure, and operational continuity)*</t>
  </si>
  <si>
    <t>**Architecture &amp; Design** *(Actors responsible for system design, solution planning, and technical blueprint)*</t>
  </si>
  <si>
    <t>Solution Architect, Data Steward</t>
  </si>
  <si>
    <t>**Data &amp; Research** *(Actors focused on data management, scientific research, and analytical experimentation)*</t>
  </si>
  <si>
    <t>**ML Development &amp; Engineering** *(Actors responsible for building, training, and deploying ML models and pipelines)*</t>
  </si>
  <si>
    <t>**Operations &amp; Infrastructure** *(Actors responsible for deployment, monitoring, automation, and infrastructure reliability)*</t>
  </si>
  <si>
    <t>**Business &amp; Strategy** *(Actors focused on business value, governance, and strategic alignment)*</t>
  </si>
  <si>
    <t>Solution Architect, Domain Expert, Scientist</t>
  </si>
  <si>
    <t>**Data Management &amp; Governance** *(Actors responsible for data pipelines, quality, access, and stewardship)*</t>
  </si>
  <si>
    <t>**Machine Learning &amp; Experimentation** *(Actors focused on model development, research, and experimentation)*</t>
  </si>
  <si>
    <t>**Software Development &amp; Integration** *(Actors responsible for building applications, APIs, and software components)*</t>
  </si>
  <si>
    <t>**Operations &amp; Infrastructure** *(Actors responsible for deployment, monitoring, infrastructure, and reliability)*</t>
  </si>
  <si>
    <t>**Data Management &amp; Governance** *(Actors responsible for data pipelines, quality, availability, and stewardship)*</t>
  </si>
  <si>
    <t>**AI/ML Research &amp; Development** *(Actors focused on model design, experimentation, and scientific development)*</t>
  </si>
  <si>
    <t>**Software &amp; Application Development** *(Actors responsible for building, integrating, and deploying software/applications)*</t>
  </si>
  <si>
    <t>**Architecture &amp; Design** *(Actors responsible for system design, technical blueprints, and infrastructure planning)*</t>
  </si>
  <si>
    <t>**Platform, Infrastructure &amp; Operations** *(Actors responsible for deployment, monitoring, automation, and operational stability)*</t>
  </si>
  <si>
    <t>**Data &amp; Knowledge** *(Actors responsible for data availability, quality, governance, and domain knowledge)*</t>
  </si>
  <si>
    <t>**ML Modeling &amp; Development** *(Actors focused on building, training, and validating ML models and applications)*</t>
  </si>
  <si>
    <t>Data Scientist, ML Engineer / Developer, Software Developer, Application Developer</t>
  </si>
  <si>
    <t>**Software &amp; Solution Engineering** *(Actors responsible for system design, architecture, and software integration)*</t>
  </si>
  <si>
    <t>Solution Architect, Software Engineer, Application Developer</t>
  </si>
  <si>
    <t>**Infrastructure, Deployment &amp; Operations** *(Actors managing deployment pipelines, infrastructure, monitoring, and IT operations)*</t>
  </si>
  <si>
    <t>**Business &amp; Strategy** *(Actors focused on business goals, requirements, value delivery, and organizational alignment)*</t>
  </si>
  <si>
    <t>**Domain &amp; Data Knowledge** *(Actors focused on subject matter expertise, data governance, and scientific research)*</t>
  </si>
  <si>
    <t>**Data &amp; AI/ML Development** *(Actors focused on data pipelines, model building, experimentation, and ML solutions)*</t>
  </si>
  <si>
    <t>Data Scientist, Data Engineer, ML Engineer / Developer</t>
  </si>
  <si>
    <t>**Architecture &amp; Design** *(Actors focused on system design, solution blueprinting, and technical strategy)*</t>
  </si>
  <si>
    <t>**Software Development &amp; Engineering** *(Actors focused on application building, software integration, and code engineering)*</t>
  </si>
  <si>
    <t>**Deployment &amp; Operations** *(Actors focused on CI/CD, infrastructure, system reliability, and ML lifecycle operations)*</t>
  </si>
  <si>
    <t>**Business &amp; Strategy** *(Actors focused on organizational goals, requirements, value delivery, and strategic alignment)*</t>
  </si>
  <si>
    <t>**Domain &amp; Data Knowledge** *(Actors focused on domain expertise, data governance, data quality, and subject matter understanding)*</t>
  </si>
  <si>
    <t>**Data &amp; ML Development** *(Actors focused on data pipelines, model development, experimentation, and machine learning workflows)*</t>
  </si>
  <si>
    <t>**Solution Design &amp; Architecture** *(Actors focused on system design, technical architecture, and integration planning)*</t>
  </si>
  <si>
    <t>**Deployment &amp; Operations** *(Actors focused on deployment pipelines, infrastructure, monitoring, and system reliability)*</t>
  </si>
  <si>
    <t>**Business &amp; Strategy** — Actors focused on organizational goals, requirements, ROI, and strategic alignment</t>
  </si>
  <si>
    <t>**Domain &amp; Science Expertise** — Actors who bring subject-matter knowledge and research-driven insights to define problems and validate solutions</t>
  </si>
  <si>
    <t>**Architecture &amp; Design** — Actors responsible for designing end-to-end system architecture, infrastructure planning, and technical blueprints</t>
  </si>
  <si>
    <t>**Data Management &amp; Governance** — Actors focused on data pipelines, data quality, availability, compliance, and stewardship</t>
  </si>
  <si>
    <t>**ML Modeling &amp; Experimentation** — Actors who design, train, evaluate, and iterate on machine learning models</t>
  </si>
  <si>
    <t>**Software Development &amp; Integration** — Actors responsible for building applications, APIs, and integrating ML models into software systems</t>
  </si>
  <si>
    <t>**Deployment, Automation &amp; Operations** — Actors focused on CI/CD pipelines, model deployment, monitoring, automation, and infrastructure reliability</t>
  </si>
  <si>
    <t>**Architecture &amp; Design** *(Actors responsible for system design, solution planning, and technical architecture decisions)*</t>
  </si>
  <si>
    <t>**Data &amp; Research** *(Actors focused on data management, scientific research, experimentation, and model development)*</t>
  </si>
  <si>
    <t>**Engineering &amp; Development** *(Actors responsible for building, coding, and integrating ML models and software systems)*</t>
  </si>
  <si>
    <t>**Operations &amp; Infrastructure** *(Actors responsible for deployment, monitoring, automation, and maintaining operational stability of ML systems)*</t>
  </si>
  <si>
    <t>**Domain &amp; Data Expertise** *(Actors focused on domain knowledge, data governance, data quality, and scientific research)*</t>
  </si>
  <si>
    <t>**Data &amp; ML Development** *(Actors focused on data pipelines, model building, experimentation, and feature engineering)*</t>
  </si>
  <si>
    <t>**Software &amp; Application Development** *(Actors focused on building software systems, APIs, and applications that integrate ML models)*</t>
  </si>
  <si>
    <t>**Architecture &amp; Design** *(Actors focused on system design, infrastructure planning, and end-to-end solution blueprinting)*</t>
  </si>
  <si>
    <t>**Operations &amp; Infrastructure** *(Actors focused on deployment, monitoring, automation, CI/CD pipelines, and IT infrastructure management)*</t>
  </si>
  <si>
    <t>**1. Business, Strategy &amp; Architecture** Actors focused on organizational goals, requirements definition, governance direction, and high-level system design</t>
  </si>
  <si>
    <t>• Business Stakeholder • Solution Architect • Domain Expert • Manager</t>
  </si>
  <si>
    <t>**Solution Architect** *(bridges business needs with technical feasibility)*</t>
  </si>
  <si>
    <t>**2. Data &amp; Research** Actors responsible for data acquisition, curation, governance, exploration, and scientific experimentation</t>
  </si>
  <si>
    <t>• Data Scientist • Data Engineer • Data Steward • Scientist</t>
  </si>
  <si>
    <t>**Data Scientist** *(leads data-driven experimentation and model development)*</t>
  </si>
  <si>
    <t>**3. Software &amp; ML Development** Actors focused on building, coding, and integrating ML models and software components into products</t>
  </si>
  <si>
    <t>• ML Engineer / Developer • Software Developer • Software Engineer • Application Developer</t>
  </si>
  <si>
    <t>**ML Engineer / Developer** *(bridges model development and production-grade software)*</t>
  </si>
  <si>
    <t>**4. Operations &amp; Infrastructure** Actors responsible for deployment, monitoring, scalability, reliability, and IT infrastructure management</t>
  </si>
  <si>
    <t>• DevOps Engineer • MLOps Engineer • Operations Engineer • IT Operations / Professional</t>
  </si>
  <si>
    <t>**MLOps Engineer** *(orchestrates the full ML lifecycle in production environments)*</t>
  </si>
  <si>
    <t>**1. Business &amp; Strategy** Actors primarily focused on organizational goals, investment decisions, architectural vision, and program coordination</t>
  </si>
  <si>
    <t>• Business Stakeholder • Manager • Solution Architect</t>
  </si>
  <si>
    <t>**Manager** *(bridges business intent and technical execution, coordinates all dimensions)*</t>
  </si>
  <si>
    <t>**2. Domain Knowledge &amp; Data Governance** Actors focused on subject-matter expertise, data quality, compliance, and semantic meaning of data</t>
  </si>
  <si>
    <t>• Domain Expert • Data Steward • Scientist</t>
  </si>
  <si>
    <t>**Domain Expert** *(defines the problem space and validates relevance of data and model outputs)*</t>
  </si>
  <si>
    <t>**3. Data Science &amp; Analytics** Actors focused on data preparation, feature engineering, model experimentation, and analytical insight</t>
  </si>
  <si>
    <t>• Data Scientist • Data Engineer</t>
  </si>
  <si>
    <t>**Data Scientist** *(owns the model lifecycle from experimentation to validation)*</t>
  </si>
  <si>
    <t>**4. Software &amp; ML Development** Actors focused on building, coding, and packaging ML models and applications into deployable artifacts</t>
  </si>
  <si>
    <t>**ML Engineer / Developer** *(bridges model development and production-grade software engineering)*</t>
  </si>
  <si>
    <t>**5. Operations &amp; Infrastructure** Actors focused on deployment pipelines, infrastructure reliability, monitoring, scaling, and IT support</t>
  </si>
  <si>
    <t>**MLOps Engineer** *(orchestrates the end-to-end CI/CD/CT pipeline specific to ML systems)*</t>
  </si>
  <si>
    <t>**🏢 Business &amp; Strategy** Actors focused on organizational goals, requirements definition, governance, and architectural vision</t>
  </si>
  <si>
    <t>Business Stakeholder, Manager, Domain Expert, Solution Architect</t>
  </si>
  <si>
    <t>**Business Stakeholder** *(owns business objectives and final validation criteria)*</t>
  </si>
  <si>
    <t>**🔬 Data &amp; Science** Actors focused on data lifecycle, analytical modeling, experimentation, and research</t>
  </si>
  <si>
    <t>**Data Scientist** *(bridges scientific research and production-ready ML models)*</t>
  </si>
  <si>
    <t>**💻 Engineering &amp; Development** Actors focused on software design, ML model integration, and application building</t>
  </si>
  <si>
    <t>**ML Engineer / Developer** *(core builder of ML pipelines and model deployment artifacts)*</t>
  </si>
  <si>
    <t>**⚙️ Operations &amp; Infrastructure** Actors focused on deployment, monitoring, reliability, and IT infrastructure</t>
  </si>
  <si>
    <t>MLOps Engineer, DevOps Engineer, Operations Engineer, IT Operations / Professional</t>
  </si>
  <si>
    <t>**MLOps Engineer** *(orchestrates the full CI/CD/CT pipeline and production stability)*</t>
  </si>
  <si>
    <t>**1. Business &amp; Strategy** — Actors focused on organizational goals, requirements definition, strategic planning, and architecture decisions</t>
  </si>
  <si>
    <t>**Solution Architect**</t>
  </si>
  <si>
    <t>**2. Science &amp; Domain Expertise** — Actors focused on research, experimentation, domain knowledge, and model development</t>
  </si>
  <si>
    <t>Domain Expert, Scientist, Data Scientist</t>
  </si>
  <si>
    <t>**Data Scientist**</t>
  </si>
  <si>
    <t>**3. Data Management &amp; Governance** — Actors focused on data pipelines, data quality, compliance, and stewardship</t>
  </si>
  <si>
    <t>**Data Engineer**</t>
  </si>
  <si>
    <t>**4. Software &amp; ML Development** — Actors focused on building, integrating, and productionizing ML models and applications</t>
  </si>
  <si>
    <t>**ML Engineer / Developer**</t>
  </si>
  <si>
    <t>**5. Operations &amp; Infrastructure** — Actors focused on deployment, monitoring, reliability, and infrastructure management</t>
  </si>
  <si>
    <t>**MLOps Engineer**</t>
  </si>
  <si>
    <t>Why this Leading Actor?</t>
  </si>
  <si>
    <t>Bridges business requirements with technical design across the entire pipeline</t>
  </si>
  <si>
    <t>Drives the core ML experimentation and model selection process</t>
  </si>
  <si>
    <t>Owns the data infrastructure that all downstream ML work depends on</t>
  </si>
  <si>
    <t>Translates models into production-grade, deployable systems</t>
  </si>
  <si>
    <t>Orchestrates the full CI/CD/CT ML pipeline and cross-functional operations</t>
  </si>
  <si>
    <t>**1. Business &amp; Organizational Leadership** — Actors focused on strategic goals, business value, requirements definition, and organizational oversight</t>
  </si>
  <si>
    <t>**2. Architecture &amp; System Design** — Actors responsible for end-to-end technical design, solution blueprinting, and cross-functional alignment</t>
  </si>
  <si>
    <t>**3. Data Management &amp; Governance** — Actors focused on data pipelines, data quality, cataloging, lineage, and compliance</t>
  </si>
  <si>
    <t>**4. Research &amp; Experimentation (Science)** — Actors focused on hypothesis formation, model research, experimentation, and analytical insights</t>
  </si>
  <si>
    <t>**5. Software &amp; Application Development** — Actors focused on building, integrating, and maintaining software products and services</t>
  </si>
  <si>
    <t>Software Developer, Software Engineer, Application Developer, ML Engineer / Developer</t>
  </si>
  <si>
    <t>**6. ML Engineering &amp; Deployment (MLOps Core)** — Actors focused on ML pipeline automation, CI/CD for models, model serving, monitoring, and lifecycle management</t>
  </si>
  <si>
    <t>MLOps Engineer, DevOps Engineer</t>
  </si>
  <si>
    <t>**7. IT Infrastructure &amp; Operations** — Actors focused on infrastructure provisioning, system reliability, uptime, and operational support</t>
  </si>
  <si>
    <t>**1. Business &amp; Strategy** *(Define goals, requirements, domain knowledge, and governance oversight)*</t>
  </si>
  <si>
    <t>**Business Stakeholder**</t>
  </si>
  <si>
    <t>**2. Architecture &amp; Design** *(Define system structure, technical solutions, and integration blueprints)*</t>
  </si>
  <si>
    <t>**3. Data Management &amp; Science** *(Handle data collection, processing, quality, governance, and research experimentation)*</t>
  </si>
  <si>
    <t>**4. Software &amp; ML Development** *(Build, code, and develop ML models, applications, and software components)*</t>
  </si>
  <si>
    <t>**5. Operations &amp; Infrastructure** *(Deploy, monitor, maintain, and automate ML pipelines and IT systems)*</t>
  </si>
  <si>
    <t>Why This Leading Actor?</t>
  </si>
  <si>
    <t>Drives priorities, funding, and success criteria</t>
  </si>
  <si>
    <t>Owns the end-to-end technical vision and integration</t>
  </si>
  <si>
    <t>Bridges raw data and model experimentation at the core of ML</t>
  </si>
  <si>
    <t>Translates models into production-ready, deployable code</t>
  </si>
  <si>
    <t>Owns the full deployment-to-monitoring lifecycle unique to ML systems</t>
  </si>
  <si>
    <t>**1. Business &amp; Strategy** Actors focused on organizational goals, requirements, and domain knowledge</t>
  </si>
  <si>
    <t>**2. Architecture &amp; Design** Actors responsible for system-level design and technical blueprinting</t>
  </si>
  <si>
    <t>**3. Data Management &amp; Governance** Actors responsible for data pipelines, quality, and stewardship</t>
  </si>
  <si>
    <t>**4. Research &amp; Experimentation** Actors focused on model design, experimentation, and scientific analysis</t>
  </si>
  <si>
    <t>**5. Software &amp; ML Engineering** Actors focused on building, coding, and integrating ML-enabled applications</t>
  </si>
  <si>
    <t>**6. Operations &amp; Infrastructure** Actors responsible for deployment, monitoring, automation, and IT infrastructure</t>
  </si>
  <si>
    <t>**1. Business &amp; Strategy** Actors focused on business goals, requirements, domain knowledge, and organizational oversight</t>
  </si>
  <si>
    <t>**Manager** *(bridges business objectives with technical execution)*</t>
  </si>
  <si>
    <t>**2. Architecture &amp; Governance** Actors responsible for system design, data stewardship, and structural decisions</t>
  </si>
  <si>
    <t>**Solution Architect** *(defines the overall technical blueprint and governance framework)*</t>
  </si>
  <si>
    <t>**3. Data Science &amp; Research** Actors focused on data exploration, experimentation, modeling, and scientific inquiry</t>
  </si>
  <si>
    <t>Data Scientist, Data Engineer, Scientist</t>
  </si>
  <si>
    <t>**Data Scientist** *(leads model development and experimental pipeline)*</t>
  </si>
  <si>
    <t>**4. Software &amp; ML Engineering** Actors who build, code, and integrate ML models and applications into production systems</t>
  </si>
  <si>
    <t>**ML Engineer / Developer** *(bridges model development and software integration)*</t>
  </si>
  <si>
    <t>**5. Operations &amp; Infrastructure** Actors responsible for deployment, automation, monitoring, and maintaining system reliability</t>
  </si>
  <si>
    <t>**1. Business &amp; Organizational Governance** Actors focused on business value, strategic alignment, organizational objectives, and decision-making authority</t>
  </si>
  <si>
    <t>• Business Stakeholder • Manager</t>
  </si>
  <si>
    <t>**Business Stakeholder** *(owns business outcomes and funding decisions)*</t>
  </si>
  <si>
    <t>**2. Architecture &amp; Domain Expertise** Actors focused on system design, technical strategy, and subject-matter knowledge</t>
  </si>
  <si>
    <t>• Solution Architect • Domain Expert</t>
  </si>
  <si>
    <t>**Solution Architect** *(translates domain needs into technical blueprints)*</t>
  </si>
  <si>
    <t>**3. Data &amp; Research** Actors focused on data lifecycle, governance, experimentation, and model development</t>
  </si>
  <si>
    <t>**Data Scientist** *(bridges research insights with data pipeline requirements)*</t>
  </si>
  <si>
    <t>**4. Software &amp; ML Engineering / Development** Actors focused on building, coding, and integrating ML models into software systems</t>
  </si>
  <si>
    <t>**ML Engineer / Developer** *(central role connecting model development to production-ready code)*</t>
  </si>
  <si>
    <t>**5. Operations &amp; Infrastructure** Actors focused on deployment, monitoring, reliability, and IT infrastructure management</t>
  </si>
  <si>
    <t>**MLOps Engineer** *(uniquely bridges ML workflows with operational pipelines end-to-end)*</t>
  </si>
  <si>
    <t>**1. Business &amp; Management** *(Define goals, strategy, governance, and domain knowledge)*</t>
  </si>
  <si>
    <t>**Manager**</t>
  </si>
  <si>
    <t>**2. Architecture &amp; Design** *(Define system structure, technical blueprint, and integration patterns)*</t>
  </si>
  <si>
    <t>**3. Data &amp; Science** *(Research, data management, experimentation, and model development)*</t>
  </si>
  <si>
    <t>**4. Software Engineering &amp; Development** *(Build, integrate, and deliver ML-powered applications and services)*</t>
  </si>
  <si>
    <t>**5. Operations &amp; Infrastructure** *(Deploy, monitor, automate, and maintain systems and pipelines)*</t>
  </si>
  <si>
    <t>**Leading Actor**</t>
  </si>
  <si>
    <t>**Justification**</t>
  </si>
  <si>
    <t>Owns project priorities, coordinates stakeholders, and bridges business needs with technical execution</t>
  </si>
  <si>
    <t>Single role in its dimension; responsible for end-to-end technical design decisions</t>
  </si>
  <si>
    <t>Drives the core ML experimentation loop and guides data requirements</t>
  </si>
  <si>
    <t>Translates models into production-ready systems; bridges science and engineering</t>
  </si>
  <si>
    <t>Orchestrates CI/CD/CT pipelines, monitoring, and operational reliability of ML systems</t>
  </si>
  <si>
    <t>deepseek v3  temp = 0</t>
  </si>
  <si>
    <t>**Data &amp; Science**</t>
  </si>
  <si>
    <t>Data Scientist, Scientist, Domain Expert, Data Engineer, Data Steward</t>
  </si>
  <si>
    <t>**Data Scientist** (or Principal Scientist for advanced research)</t>
  </si>
  <si>
    <t>**Engineering &amp; Development**</t>
  </si>
  <si>
    <t>ML Engineer / Developer, Software Developer, Software Engineer, Application Developer, DevOps Engineer, MLOps Engineer</t>
  </si>
  <si>
    <t>**MLOps Engineer** (or Senior ML Engineer for core model integration)</t>
  </si>
  <si>
    <t>**Governance &amp; Operations**</t>
  </si>
  <si>
    <t>Business Stakeholder, Solution Architect, Manager, Operations Engineer, IT Operations / Professional</t>
  </si>
  <si>
    <t>**Solution Architect** (or Product Manager for business-driven projects)</t>
  </si>
  <si>
    <t>ML Engineer / Developer, Software Developer, Software Engineer, Application Developer, Solution Architect, DevOps Engineer, MLOps Engineer</t>
  </si>
  <si>
    <t>Business Stakeholder, Manager, Operations Engineer, IT Operations / Professional</t>
  </si>
  <si>
    <t>**Data Scientist** (Orchestrates the scientific method and model development, relying on the domain expert for context and the data engineer/steward for pipeline and quality.)</t>
  </si>
  <si>
    <t>ML Engineer / Developer, Software Developer, Software Engineer, Application Developer, Solution Architect</t>
  </si>
  <si>
    <t>**ML Engineer / Developer** (Bridges data science and production software, responsible for implementing scalable, deployable ML systems.)</t>
  </si>
  <si>
    <t>**Operations &amp; Governance**</t>
  </si>
  <si>
    <t>MLOps Engineer, DevOps Engineer, IT Operations / Professional, Operations Engineer</t>
  </si>
  <si>
    <t>**MLOps Engineer** (Owns the specialized CI/CD/CT pipelines, infrastructure, and monitoring specific to ML systems.)</t>
  </si>
  <si>
    <t>**Business &amp; Strategy**</t>
  </si>
  <si>
    <t>**Business Stakeholder** (Defines the business objectives, success criteria, and provides the ultimate requirements and funding.)</t>
  </si>
  <si>
    <t>**Data Scientist** (Leads the analytical modeling, supported by domain knowledge and data infrastructure)</t>
  </si>
  <si>
    <t>**MLOps Engineer** (Orchestrates the integration of ML, software, and DevOps practices into a cohesive pipeline)</t>
  </si>
  <si>
    <t>**Solution Architect** (Translates business and operational requirements into a viable technical strategy and system design)</t>
  </si>
  <si>
    <t>**Data Scientist** (Leads the analytical and modeling vision, integrating domain knowledge and data infrastructure)</t>
  </si>
  <si>
    <t>**Solution Architect** (Translates business and managerial requirements into a viable, operational technical strategy)</t>
  </si>
  <si>
    <t>deepseek v3  temp = 0.7</t>
  </si>
  <si>
    <t>**Data Scientist** (Orchestrates the scientific method and model development, relying on the other actors in this dimension)</t>
  </si>
  <si>
    <t>**MLOps Engineer** (Owns the integration of ML workflows into robust, automated production systems)</t>
  </si>
  <si>
    <t>**Solution Architect** (Translates business needs into a technical vision and system design that balances all operational concerns)</t>
  </si>
  <si>
    <t>MLOps Engineer, DevOps Engineer, IT Operations / Professional, Operations Engineer, Manager, Business Stakeholder</t>
  </si>
  <si>
    <t>Data Scientist, Data Engineer, Data Steward, Scientist, Domain Expert</t>
  </si>
  <si>
    <t>**Engineering &amp; Operations**</t>
  </si>
  <si>
    <t>Solution Architect, ML Engineer / Developer, Software Developer, Software Engineer, Application Developer, DevOps Engineer, MLOps Engineer, Operations Engineer, IT Operations / Professional</t>
  </si>
  <si>
    <t>ML Engineer / Developer, Software Developer, Software Engineer, Application Developer, DevOps Engineer, MLOps Engineer, Operations Engineer, IT Operations / Professional</t>
  </si>
  <si>
    <t>**Governance &amp; Strategy**</t>
  </si>
  <si>
    <t>Business Stakeholder, Solution Architect, Manager</t>
  </si>
  <si>
    <t>Business Stakeholder, Solution Architect, Domain Expert, Manager</t>
  </si>
  <si>
    <t>Business Stakeholder, Domain Expert, Manager, Solution Architect</t>
  </si>
  <si>
    <t>Data Scientist, Data Engineer, Data Steward, Domain Expert, Scientist</t>
  </si>
  <si>
    <t>MLOps Engineer, DevOps Engineer, Operations Engineer, IT Operations / Professional, Manager, Business Stakeholder</t>
  </si>
  <si>
    <t>deepseek v3  thinking</t>
  </si>
  <si>
    <t>**Data Management &amp; Governance**</t>
  </si>
  <si>
    <t>Data Engineer, Data Scientist, Data Steward, Domain Expert</t>
  </si>
  <si>
    <t>**Engineering &amp; Infrastructure**</t>
  </si>
  <si>
    <t>ML Engineer / Developer, MLOps Engineer, DevOps Engineer, IT Operations / Professional, Operations Engineer</t>
  </si>
  <si>
    <t>**Software Development**</t>
  </si>
  <si>
    <t>**Domain &amp; Research**</t>
  </si>
  <si>
    <t>**Data Steward**</t>
  </si>
  <si>
    <t>**Model Development &amp; Science**</t>
  </si>
  <si>
    <t>Solution Architect, Software Developer, Software Engineer, Application Developer, DevOps Engineer, MLOps Engineer, Operations Engineer, IT Operations / Professional</t>
  </si>
  <si>
    <t>**Data Management &amp; Expertise**</t>
  </si>
  <si>
    <t>**ML Development &amp; Operations**</t>
  </si>
  <si>
    <t>ML Engineer / Developer, MLOps Engineer, Scientist, Data Scientist</t>
  </si>
  <si>
    <t>**Software Development &amp; Engineering**</t>
  </si>
  <si>
    <t>**Software Engineer**</t>
  </si>
  <si>
    <t>**Infrastructure &amp; IT Operations**</t>
  </si>
  <si>
    <t>DevOps Engineer, Operations Engineer, IT Operations / Professional, Solution Architect</t>
  </si>
  <si>
    <t>**DevOps Engineer**</t>
  </si>
  <si>
    <t>Manager</t>
  </si>
  <si>
    <t>Model Development &amp; Research</t>
  </si>
  <si>
    <t>Domain Expert, Data Scientist, Scientist, ML Engineer / Developer</t>
  </si>
  <si>
    <t>Business &amp; Domain</t>
  </si>
  <si>
    <t>Data Governance &amp; Engineering</t>
  </si>
  <si>
    <t>Software Development &amp; Architecture</t>
  </si>
  <si>
    <t>DevOps &amp; Operations</t>
  </si>
  <si>
    <t>MLOps Engineering</t>
  </si>
  <si>
    <t>Data Engineer, Data Steward, IT Operations / Professional</t>
  </si>
  <si>
    <t>**Model Development &amp; Research**</t>
  </si>
  <si>
    <t>**Software &amp; Application Engineering**</t>
  </si>
  <si>
    <t>**Deployment &amp; Operations**</t>
  </si>
  <si>
    <t>DevOps Engineer, MLOps Engineer, Operations Engineer</t>
  </si>
  <si>
    <t>**Model &amp; Algorithm Development**</t>
  </si>
  <si>
    <t>**Data &amp; Infrastructure**</t>
  </si>
  <si>
    <t>Data Engineer, Data Steward, Solution Architect</t>
  </si>
  <si>
    <t>Software Developer, Software Engineer, Application Developer, DevOps Engineer, MLOps Engineer, Operations Engineer, IT Operations / Professional</t>
  </si>
  <si>
    <t>ML Development</t>
  </si>
  <si>
    <t>Operations &amp; DevOps</t>
  </si>
  <si>
    <t>**Model Research &amp; Development**</t>
  </si>
  <si>
    <t>**Engineering &amp; Productization**</t>
  </si>
  <si>
    <t>**Operations &amp; Deployment**</t>
  </si>
  <si>
    <t>Solution Architect, DevOps Engineer, MLOps Engineer, Operations Engineer</t>
  </si>
  <si>
    <t>Business &amp; Management</t>
  </si>
  <si>
    <t>Data &amp; Governance</t>
  </si>
  <si>
    <t>Modeling &amp; Science</t>
  </si>
  <si>
    <t>Software &amp; Systems Engineering</t>
  </si>
  <si>
    <t xml:space="preserve">gemini 2.5 flash temp = 0 </t>
  </si>
  <si>
    <t>**Business &amp; Domain Expertise**</t>
  </si>
  <si>
    <t>**Data Engineering &amp; Governance**</t>
  </si>
  <si>
    <t>**ML Science &amp; Model Development**</t>
  </si>
  <si>
    <t>**MLOps &amp; Platform Engineering**</t>
  </si>
  <si>
    <t>Solution Architect, ML Engineer / Developer, MLOps Engineer</t>
  </si>
  <si>
    <t>**IT &amp; Operations Infrastructure**</t>
  </si>
  <si>
    <t>gemini  2.5 flash temp = 0.7</t>
  </si>
  <si>
    <t>**Data Management**</t>
  </si>
  <si>
    <t>**ML Development**</t>
  </si>
  <si>
    <t>Data Scientist, ML Engineer / Developer, Scientist, Domain Expert</t>
  </si>
  <si>
    <t>**Software Engineering**</t>
  </si>
  <si>
    <t>**Architecture &amp; Design**</t>
  </si>
  <si>
    <t>**MLOps &amp; DevOps**</t>
  </si>
  <si>
    <t>MLOps Engineer, DevOps Engineer, ML Engineer / Developer</t>
  </si>
  <si>
    <t>**IT &amp; Operations**</t>
  </si>
  <si>
    <t>Operations Engineer, IT Operations / Professional, DevOps Engineer</t>
  </si>
  <si>
    <t>**Data &amp; Analytics**</t>
  </si>
  <si>
    <t>**ML Engineering &amp; Development**</t>
  </si>
  <si>
    <t>**Platform &amp; Operations**</t>
  </si>
  <si>
    <t>Solution Architect, DevOps Engineer, MLOps Engineer, Operations Engineer, IT Operations / Professional</t>
  </si>
  <si>
    <t>**Operations &amp; IT**</t>
  </si>
  <si>
    <t>Business Stakeholder, Domain Expert, Manager, Scientist (when driving research/innovation for business impact)</t>
  </si>
  <si>
    <t>Data Scientist, Data Engineer, Data Steward, Scientist (when involved in data collection/preparation for research)</t>
  </si>
  <si>
    <t>Data Scientist, ML Engineer / Developer, Scientist (when building models)</t>
  </si>
  <si>
    <t>Software Developer, Software Engineer, Application Developer, Solution Architect (when designing software systems)</t>
  </si>
  <si>
    <t>**Operations &amp; Infrastructure**</t>
  </si>
  <si>
    <t>DevOps Engineer, MLOps Engineer, Operations Engineer, IT Operations / Professional, Solution Architect (when designing infrastructure)</t>
  </si>
  <si>
    <t>**Oversight &amp; Governance**</t>
  </si>
  <si>
    <t>Solution Architect, Data Steward, Manager, IT Operations / Professional (for compliance/security aspects)</t>
  </si>
  <si>
    <t>Data Scientist, ML Engineer / Developer, Software Developer, Software Engineer, Application Developer</t>
  </si>
  <si>
    <t>**Infrastructure &amp; Ops**</t>
  </si>
  <si>
    <t>DevOps Engineer, MLOps Engineer, Operations Engineer, IT Operations / Professional, Solution Architect</t>
  </si>
  <si>
    <t>**ML Model Development**</t>
  </si>
  <si>
    <t>**Software &amp; Application Development**</t>
  </si>
  <si>
    <t>**MLOps &amp; Infrastructure**</t>
  </si>
  <si>
    <t>**Architecture &amp; Oversight**</t>
  </si>
  <si>
    <t>**ML &amp; AI Development**</t>
  </si>
  <si>
    <t>**MLOps &amp; Deployment**</t>
  </si>
  <si>
    <t>Solution Architect, ML Engineer / Developer, DevOps Engineer, MLOps Engineer, Operations Engineer, IT Operations / Professional</t>
  </si>
  <si>
    <t>**Infrastructure &amp; Operations**</t>
  </si>
  <si>
    <t>**Architecture &amp; Governance**</t>
  </si>
  <si>
    <t>Business Stakeholder, Domain Expert, Manager, Scientist (when driving research/innovation for business)</t>
  </si>
  <si>
    <t>Data Scientist, Data Engineer, Data Steward, Scientist (when focused on data collection/analysis), Domain Expert (for data context)</t>
  </si>
  <si>
    <t>Data Scientist, ML Engineer / Developer, Scientist (when focused on model research/development), Software Developer (for ML-specific code)</t>
  </si>
  <si>
    <t>Software Developer, Software Engineer, Application Developer, ML Engineer / Developer (for productionizing ML models)</t>
  </si>
  <si>
    <t>DevOps Engineer, MLOps Engineer, Operations Engineer, IT Operations / Professional, Solution Architect (for infrastructure design)</t>
  </si>
  <si>
    <t>Solution Architect, ML Engineer / Developer (for system design), Software Engineer (for system design), DevOps Engineer (for infrastructure design)</t>
  </si>
  <si>
    <t>gemini 2.5 flash thinking</t>
  </si>
  <si>
    <t>Duplicates</t>
  </si>
  <si>
    <t>**1. Business &amp; Domain Strategy**</t>
  </si>
  <si>
    <t>**2. Data Engineering &amp; Governance**</t>
  </si>
  <si>
    <t>**3. Machine Learning &amp; Model Development**</t>
  </si>
  <si>
    <t>**4. Software &amp; Application Engineering**</t>
  </si>
  <si>
    <t>Software Developer, Software Engineer, Application Developer, ML Engineer / Developer, Solution Architect</t>
  </si>
  <si>
    <t>**5. MLOps &amp; Production Operations**</t>
  </si>
  <si>
    <t>MLOps Engineer, DevOps Engineer, ML Engineer / Developer, Operations Engineer</t>
  </si>
  <si>
    <t>**6. IT &amp; Infrastructure Management**</t>
  </si>
  <si>
    <t>IT Operations / Professional, Operations Engineer, DevOps Engineer, Solution Architect</t>
  </si>
  <si>
    <t>**IT Operations / Professional**</t>
  </si>
  <si>
    <t>**7. Solution &amp; Enterprise Architecture**</t>
  </si>
  <si>
    <t>Solution Architect, MLOps Engineer, Software Engineer</t>
  </si>
  <si>
    <t>**1. Strategic &amp; Business Alignment**</t>
  </si>
  <si>
    <t>**2. Data Foundation &amp; Governance**</t>
  </si>
  <si>
    <t>Data Engineer, Data Steward, Data Scientist, Solution Architect</t>
  </si>
  <si>
    <t>**3. ML Model Development &amp; Expertise**</t>
  </si>
  <si>
    <t>**4. Software &amp; Application Integration**</t>
  </si>
  <si>
    <t>**5. MLOps &amp; Operational Excellence**</t>
  </si>
  <si>
    <t>MLOps Engineer, DevOps Engineer, Operations Engineer, IT Operations / Professional, ML Engineer / Developer, Software Engineer, Solution Architect</t>
  </si>
  <si>
    <t>**1. Business &amp; Strategy**</t>
  </si>
  <si>
    <t>**2. Data Management &amp; Science**</t>
  </si>
  <si>
    <t>**3. ML &amp; Application Development**</t>
  </si>
  <si>
    <t>**4. MLOps &amp; Infrastructure Operations**</t>
  </si>
  <si>
    <t>**5. Solution Architecture**</t>
  </si>
  <si>
    <t>**3. Machine Learning Research &amp; Development**</t>
  </si>
  <si>
    <t>**6. Architectural &amp; Solution Design**</t>
  </si>
  <si>
    <t>**2. Data &amp; Research**</t>
  </si>
  <si>
    <t>**3. ML &amp; Software Engineering**</t>
  </si>
  <si>
    <t>**4. MLOps &amp; Production Operations**</t>
  </si>
  <si>
    <t>**5. Architecture &amp; Technical Guidance**</t>
  </si>
  <si>
    <t>**1. Business &amp; Product Strategy**</t>
  </si>
  <si>
    <t>**2. Solution Architecture &amp; Design**</t>
  </si>
  <si>
    <t>**3. Data Management &amp; Governance**</t>
  </si>
  <si>
    <t>**4. Machine Learning Research &amp; Development**</t>
  </si>
  <si>
    <t>**5. Software &amp; Application Engineering**</t>
  </si>
  <si>
    <t>**6. MLOps &amp; ML System Engineering**</t>
  </si>
  <si>
    <t>**7. IT &amp; Cloud Operations**</t>
  </si>
  <si>
    <t>**Data Management &amp; Engineering**</t>
  </si>
  <si>
    <t>**Machine Learning R&amp;D**</t>
  </si>
  <si>
    <t>**ML System Engineering**</t>
  </si>
  <si>
    <t>**Solution Architecture**</t>
  </si>
  <si>
    <t>**MLOps &amp; IT Operations**</t>
  </si>
  <si>
    <t>**1. Strategic &amp; Managerial**</t>
  </si>
  <si>
    <t>**2. Architectural Design**</t>
  </si>
  <si>
    <t>**3. Data Engineering &amp; Governance**</t>
  </si>
  <si>
    <t>**4. Machine Learning Science**</t>
  </si>
  <si>
    <t>**5. ML System Development**</t>
  </si>
  <si>
    <t>**6. Application Software Development**</t>
  </si>
  <si>
    <t>**7. MLOps &amp; Deployment**</t>
  </si>
  <si>
    <t>**8. IT Operations &amp; Infrastructure**</t>
  </si>
  <si>
    <t>**2. Data &amp; Model Science**</t>
  </si>
  <si>
    <t>**3. Solution &amp; ML Engineering**</t>
  </si>
  <si>
    <t>**4. MLOps &amp; Operations**</t>
  </si>
  <si>
    <t>**2. Data Science &amp; Research**</t>
  </si>
  <si>
    <t>Data Scientist, Scientist, Data Steward</t>
  </si>
  <si>
    <t>**3. Data Engineering**</t>
  </si>
  <si>
    <t>**4. ML Model Development**</t>
  </si>
  <si>
    <t>**5. Software &amp; Application Development**</t>
  </si>
  <si>
    <t>**6. MLOps &amp; Infrastructure Operations**</t>
  </si>
  <si>
    <t>MLOps Engineer, DevOps Engineer, Operations Engineer, IT Operations / Professional, ML Engineer / Developer</t>
  </si>
  <si>
    <t>**7. Architecture &amp; System Design**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</si>
</sst>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4.0"/>
      <color rgb="FF1E4E79"/>
      <name val="Calibri"/>
    </font>
    <font/>
    <font>
      <b/>
      <sz val="14.0"/>
      <color theme="1"/>
      <name val="Calibri"/>
    </font>
    <font>
      <color theme="1"/>
      <name val="Calibri"/>
      <scheme val="minor"/>
    </font>
    <font>
      <b/>
      <sz val="12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6DCE4"/>
        <bgColor rgb="FFD6DCE4"/>
      </patternFill>
    </fill>
    <fill>
      <patternFill patternType="solid">
        <fgColor rgb="FFF2F2F2"/>
        <bgColor rgb="FFF2F2F2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horizontal="left"/>
    </xf>
    <xf borderId="0" fillId="0" fontId="4" numFmtId="2" xfId="0" applyFont="1" applyNumberFormat="1"/>
    <xf borderId="0" fillId="0" fontId="4" numFmtId="0" xfId="0" applyFont="1"/>
    <xf borderId="4" fillId="3" fontId="5" numFmtId="0" xfId="0" applyBorder="1" applyFill="1" applyFont="1"/>
    <xf borderId="0" fillId="0" fontId="4" numFmtId="2" xfId="0" applyAlignment="1" applyFont="1" applyNumberFormat="1">
      <alignment horizontal="center"/>
    </xf>
    <xf borderId="0" fillId="0" fontId="4" numFmtId="0" xfId="0" applyAlignment="1" applyFont="1">
      <alignment readingOrder="0"/>
    </xf>
    <xf borderId="4" fillId="2" fontId="3" numFmtId="0" xfId="0" applyAlignment="1" applyBorder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4.29"/>
    <col customWidth="1" min="2" max="2" width="91.43"/>
    <col customWidth="1" min="3" max="3" width="32.0"/>
    <col customWidth="1" min="4" max="5" width="8.71"/>
    <col customWidth="1" min="6" max="6" width="10.43"/>
    <col customWidth="1" min="7" max="7" width="14.0"/>
    <col customWidth="1" min="8" max="26" width="8.71"/>
  </cols>
  <sheetData>
    <row r="1">
      <c r="A1" s="1" t="s">
        <v>0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G2" s="5"/>
      <c r="I2" s="6">
        <f>IFERROR(__xludf.DUMMYFUNCTION("LET(
runCol,$A$1:$A$300,
runRows,FILTER(ROW(runCol),ISNUMBER(SEARCH(""Run "",runCol))),
lastUsed,MAX(FILTER(ROW(runCol),runCol&lt;&gt;"""")),
BYROW(runRows,LAMBDA(r,
  LET(
    k,XMATCH(r,runRows),
    nextRun,IFERROR(INDEX(runRows,k+1),lastUsed+1),
    rng,IND"&amp;"EX($B:$B,r+2):INDEX($B:$B,nextRun-1),
    SUMPRODUCT((rng&lt;&gt;"""")*(LEFT(TRIM(rng),1)&lt;&gt;""-""))
  )
))
)"),7.0)</f>
        <v>7</v>
      </c>
      <c r="K2" s="6">
        <f>IFERROR(__xludf.DUMMYFUNCTION("LET(
runCol,$A$1:$A$300,
runRows,FILTER(ROW(runCol),ISNUMBER(SEARCH(""Run "",runCol))),
lastUsed,MAX(FILTER(ROW(runCol),runCol&lt;&gt;"""")),
x,BYROW(runRows,LAMBDA(r,
  LET(
    k,XMATCH(r,runRows),
    nextRun,IFERROR(INDEX(runRows,k+1),lastUsed+1),
    rng,I"&amp;"NDEX($B:$B,r+2):INDEX($B:$B,nextRun-1),
    SUMPRODUCT((rng&lt;&gt;"""")*(LEFT(TRIM(rng),1)&lt;&gt;""-""))
  )
)),
HSTACK(AVERAGE(x),STDEV.S(x))
)"),6.9)</f>
        <v>6.9</v>
      </c>
      <c r="L2" s="6">
        <f>IFERROR(__xludf.DUMMYFUNCTION("""COMPUTED_VALUE"""),0.737864787372622)</f>
        <v>0.7378647874</v>
      </c>
      <c r="N2" s="6">
        <f>IFERROR(__xludf.DUMMYFUNCTION("LET(
expected,{
""Business Stakeholder"";
""Business Analyst"";
""Domain Expert"";
""Data Scientist"";
""Data Engineer"";
""Data Steward"";
""Scientist"";
""ML Engineer / Developer"";
""Solution Architect"";
""Software Engineer"";
""Software Developer"";
"&amp;"""Application Developer"";
""DevOps Engineer"";
""MLOps Engineer"";
""Operations Engineer"";
""IT Operations / Professional""
},
norm,LAMBDA(t,LOWER(TRIM(SUBSTITUTE(SUBSTITUTE(SUBSTITUTE(SUBSTITUTE(SUBSTITUTE(SUBSTITUTE(SUBSTITUTE(t,CHAR(10),"",""),"";"","&amp;""",""),""|"","",""),""•"","",""),"" / "",""/""),"" /"",""/""),""/ "",""/"")))),
expNorm,MAP(expected,norm),
runCol,$A$1:$A$300,
runRows,FILTER(ROW(runCol),ISNUMBER(SEARCH(""Run "",runCol))),
lastUsed,MAX(FILTER(ROW(runCol),runCol&lt;&gt;"""")),
BYROW(runRows,LA"&amp;"MBDA(r,
  LET(
    k,XMATCH(r,runRows),
    nextRun,IFERROR(INDEX(runRows,k+1),lastUsed+1),
    rng,INDEX($B:$B,r+2):INDEX($B:$B,nextRun-1),
    txt,"","" &amp; norm(TEXTJOIN("","",TRUE,rng)) &amp; "","",
    found,SUM(--ISNUMBER(SEARCH("","" &amp; expNorm &amp; "","",tx"&amp;"t))),
    found/ROWS(expected)*100
  )
))
)"),6.25)</f>
        <v>6.25</v>
      </c>
      <c r="O2" s="6">
        <f>IFERROR(__xludf.DUMMYFUNCTION("LET(
expected,{
""Business Stakeholder"";
""Business Analyst"";
""Domain Expert"";
""Data Scientist"";
""Data Engineer"";
""Data Steward"";
""Scientist"";
""ML Engineer / Developer"";
""Solution Architect"";
""Software Engineer"";
""Software Developer"";
"&amp;"""Application Developer"";
""DevOps Engineer"";
""MLOps Engineer"";
""Operations Engineer"";
""IT Operations / Professional""
},
norm,LAMBDA(t,LOWER(TRIM(SUBSTITUTE(SUBSTITUTE(SUBSTITUTE(SUBSTITUTE(SUBSTITUTE(SUBSTITUTE(t,CHAR(10),"",""),"";"","",""),""|"&amp;""","",""),"" / "",""/""),"" /"",""/""),""/ "",""/"")))),
runCol,$A$1:$A$300,
runRows,FILTER(ROW(runCol),ISNUMBER(SEARCH(""Run "",runCol))),
lastUsed,MAX(FILTER(ROW(runCol),runCol&lt;&gt;"""")),
x,BYROW(runRows,LAMBDA(r,
  LET(
    k,XMATCH(r,runRows),
    nextR"&amp;"un,IFERROR(INDEX(runRows,k+1),lastUsed+1),
    rng,INDEX($C:$C,r+2):INDEX($C:$C,nextRun-1),
    txt,norm(TEXTJOIN("","",TRUE,rng)),
    found,SUM(--ISNUMBER(SEARCH(norm(expected),txt))),
    found/16*100
  )
)),
HSTACK(AVERAGE(x),STDEV.S(x))
)"),6.25)</f>
        <v>6.25</v>
      </c>
      <c r="P2" s="6">
        <f>IFERROR(__xludf.DUMMYFUNCTION("""COMPUTED_VALUE"""),0.0)</f>
        <v>0</v>
      </c>
      <c r="R2" s="6">
        <f>IFERROR(__xludf.DUMMYFUNCTION("LET(
expected,{
""Business Stakeholder"";
""Solution Architect"";
""Domain Expert"";
""Manager"";
""Data Scientist"";
""Data Engineer"";
""Data Steward"";
""Scientist"";
""ML Engineer / Developer"";
""Software Developer"";
""Software Engineer"";
""Applica"&amp;"tion Developer"";
""DevOps Engineer"";
""MLOps Engineer"";
""Operations Engineer"";
""IT Operations / Professional""
},
norm,LAMBDA(t,LOWER(TRIM(SUBSTITUTE(SUBSTITUTE(SUBSTITUTE(SUBSTITUTE(SUBSTITUTE(SUBSTITUTE(SUBSTITUTE(""""&amp;t,CHAR(10),"",""),"";"","","&amp;"""),""|"","",""),""•"","",""),"" / "",""/""),"" /"",""/""),""/ "",""/"")))),
expNorm,MAP(expected,norm),
runCol,$A$1:$A$300,
runRows,FILTER(ROW($A$1:$A$300),ISNUMBER(SEARCH(""Run "",$A$1:$A$300))),
lastUsed,MAX(FILTER(ROW($A$1:$A$300),$A$1:$A$300&lt;&gt;"""")),"&amp;"
BYROW(runRows,LAMBDA(r,
  LET(
    k,XMATCH(r,runRows),
    nextRun,IFERROR(INDEX(runRows,k+1),lastUsed+1),
    rawRng,INDEX($B:$B,r+2):INDEX($B:$B,nextRun-1),
    rng,FILTER(rawRng,(rawRng&lt;&gt;"""")*(LEFT(TRIM(rawRng),1)&lt;&gt;""-"")*(LOWER(TRIM(rawRng))&lt;&gt;""lis"&amp;"t of actors"")),
    occ,MAP(expNorm,LAMBDA(a,SUM(--ISNUMBER(SEARCH("",""&amp;a&amp;"","","",""&amp;norm(rng)&amp;"",""))))),
    SUM(MAP(occ,LAMBDA(n,MAX(n-1,0))))
  )
))
)"),0.0)</f>
        <v>0</v>
      </c>
      <c r="T2" s="6">
        <f>IFERROR(__xludf.DUMMYFUNCTION("MAP(
  SEQUENCE(10),
  LAMBDA(r,
    SUM(MAP({
    ""Business Stakeholder"";
    ""Solution Architect"";
    ""Domain Expert"";
    ""Manager"";
    ""Data Scientist"";
    ""Data Engineer"";
    ""Data Steward"";
    ""Scientist"";
    ""ML Engineer / De"&amp;"veloper"";
    ""Software Developer"";
    ""Software Engineer"";
    ""Application Developer"";
    ""DevOps Engineer"";
    ""MLOps Engineer"";
    ""Operations Engineer"";
    ""IT Operations / Professional""
    },
    LAMBDA(actor,
      MAX(
       "&amp;" 0,
        SUM(
          MAP(
            INDEX(B:B, MATCH(""Run ""&amp;r, A:A, 0)+2):
            INDEX(B:B, IFERROR(MATCH(""Run ""&amp;(r+1), A:A, 0)-2, LOOKUP(2,1/(A:A&lt;&gt;""""),ROW(A:A)))),
            LAMBDA(cell,
              --REGEXMATCH(
                c"&amp;"ell,
                ""(^|[^A-Za-z/])"" &amp;
                REGEXREPLACE(actor,""([\\^$.|?*+(){}\[\]])"",""\\$1"") &amp;
                ""([^A-Za-z/]|$)""
              )
            )
          )
        ) - 1
      )
    )))
  )
)"),1.0)</f>
        <v>1</v>
      </c>
    </row>
    <row r="3">
      <c r="A3" s="7" t="s">
        <v>1</v>
      </c>
      <c r="I3" s="6">
        <f>IFERROR(__xludf.DUMMYFUNCTION("""COMPUTED_VALUE"""),6.0)</f>
        <v>6</v>
      </c>
      <c r="N3" s="6">
        <f>IFERROR(__xludf.DUMMYFUNCTION("""COMPUTED_VALUE"""),6.25)</f>
        <v>6.25</v>
      </c>
      <c r="R3" s="6">
        <f>IFERROR(__xludf.DUMMYFUNCTION("""COMPUTED_VALUE"""),0.0)</f>
        <v>0</v>
      </c>
      <c r="T3" s="6">
        <f>IFERROR(__xludf.DUMMYFUNCTION("""COMPUTED_VALUE"""),0.0)</f>
        <v>0</v>
      </c>
    </row>
    <row r="4">
      <c r="A4" s="6" t="s">
        <v>2</v>
      </c>
      <c r="B4" s="6" t="s">
        <v>3</v>
      </c>
      <c r="C4" s="6" t="s">
        <v>4</v>
      </c>
      <c r="I4" s="6">
        <f>IFERROR(__xludf.DUMMYFUNCTION("""COMPUTED_VALUE"""),6.0)</f>
        <v>6</v>
      </c>
      <c r="N4" s="6">
        <f>IFERROR(__xludf.DUMMYFUNCTION("""COMPUTED_VALUE"""),6.25)</f>
        <v>6.25</v>
      </c>
      <c r="R4" s="6">
        <f>IFERROR(__xludf.DUMMYFUNCTION("""COMPUTED_VALUE"""),0.0)</f>
        <v>0</v>
      </c>
      <c r="T4" s="6">
        <f>IFERROR(__xludf.DUMMYFUNCTION("""COMPUTED_VALUE"""),0.0)</f>
        <v>0</v>
      </c>
    </row>
    <row r="5">
      <c r="A5" s="6" t="s">
        <v>5</v>
      </c>
      <c r="B5" s="6" t="s">
        <v>6</v>
      </c>
      <c r="C5" s="6" t="s">
        <v>7</v>
      </c>
      <c r="I5" s="6">
        <f>IFERROR(__xludf.DUMMYFUNCTION("""COMPUTED_VALUE"""),7.0)</f>
        <v>7</v>
      </c>
      <c r="N5" s="6">
        <f>IFERROR(__xludf.DUMMYFUNCTION("""COMPUTED_VALUE"""),0.0)</f>
        <v>0</v>
      </c>
      <c r="R5" s="6">
        <f>IFERROR(__xludf.DUMMYFUNCTION("""COMPUTED_VALUE"""),0.0)</f>
        <v>0</v>
      </c>
      <c r="T5" s="6">
        <f>IFERROR(__xludf.DUMMYFUNCTION("""COMPUTED_VALUE"""),0.0)</f>
        <v>0</v>
      </c>
    </row>
    <row r="6">
      <c r="A6" s="6" t="s">
        <v>8</v>
      </c>
      <c r="B6" s="6" t="s">
        <v>9</v>
      </c>
      <c r="C6" s="6" t="s">
        <v>10</v>
      </c>
      <c r="I6" s="6">
        <f>IFERROR(__xludf.DUMMYFUNCTION("""COMPUTED_VALUE"""),7.0)</f>
        <v>7</v>
      </c>
      <c r="N6" s="6">
        <f>IFERROR(__xludf.DUMMYFUNCTION("""COMPUTED_VALUE"""),6.25)</f>
        <v>6.25</v>
      </c>
      <c r="R6" s="6">
        <f>IFERROR(__xludf.DUMMYFUNCTION("""COMPUTED_VALUE"""),0.0)</f>
        <v>0</v>
      </c>
      <c r="T6" s="6">
        <f>IFERROR(__xludf.DUMMYFUNCTION("""COMPUTED_VALUE"""),0.0)</f>
        <v>0</v>
      </c>
    </row>
    <row r="7">
      <c r="A7" s="6" t="s">
        <v>11</v>
      </c>
      <c r="B7" s="6" t="s">
        <v>12</v>
      </c>
      <c r="C7" s="6" t="s">
        <v>12</v>
      </c>
      <c r="I7" s="6">
        <f>IFERROR(__xludf.DUMMYFUNCTION("""COMPUTED_VALUE"""),8.0)</f>
        <v>8</v>
      </c>
      <c r="N7" s="6">
        <f>IFERROR(__xludf.DUMMYFUNCTION("""COMPUTED_VALUE"""),6.25)</f>
        <v>6.25</v>
      </c>
      <c r="R7" s="6">
        <f>IFERROR(__xludf.DUMMYFUNCTION("""COMPUTED_VALUE"""),0.0)</f>
        <v>0</v>
      </c>
      <c r="T7" s="6">
        <f>IFERROR(__xludf.DUMMYFUNCTION("""COMPUTED_VALUE"""),1.0)</f>
        <v>1</v>
      </c>
    </row>
    <row r="8">
      <c r="A8" s="6" t="s">
        <v>13</v>
      </c>
      <c r="B8" s="6" t="s">
        <v>14</v>
      </c>
      <c r="C8" s="6" t="s">
        <v>15</v>
      </c>
      <c r="I8" s="6">
        <f>IFERROR(__xludf.DUMMYFUNCTION("""COMPUTED_VALUE"""),7.0)</f>
        <v>7</v>
      </c>
      <c r="N8" s="6">
        <f>IFERROR(__xludf.DUMMYFUNCTION("""COMPUTED_VALUE"""),6.25)</f>
        <v>6.25</v>
      </c>
      <c r="R8" s="6">
        <f>IFERROR(__xludf.DUMMYFUNCTION("""COMPUTED_VALUE"""),0.0)</f>
        <v>0</v>
      </c>
      <c r="T8" s="6">
        <f>IFERROR(__xludf.DUMMYFUNCTION("""COMPUTED_VALUE"""),1.0)</f>
        <v>1</v>
      </c>
    </row>
    <row r="9">
      <c r="A9" s="6" t="s">
        <v>16</v>
      </c>
      <c r="B9" s="6" t="s">
        <v>17</v>
      </c>
      <c r="C9" s="6" t="s">
        <v>18</v>
      </c>
      <c r="I9" s="6">
        <f>IFERROR(__xludf.DUMMYFUNCTION("""COMPUTED_VALUE"""),7.0)</f>
        <v>7</v>
      </c>
      <c r="N9" s="6">
        <f>IFERROR(__xludf.DUMMYFUNCTION("""COMPUTED_VALUE"""),6.25)</f>
        <v>6.25</v>
      </c>
      <c r="R9" s="6">
        <f>IFERROR(__xludf.DUMMYFUNCTION("""COMPUTED_VALUE"""),0.0)</f>
        <v>0</v>
      </c>
      <c r="T9" s="6">
        <f>IFERROR(__xludf.DUMMYFUNCTION("""COMPUTED_VALUE"""),1.0)</f>
        <v>1</v>
      </c>
    </row>
    <row r="10">
      <c r="A10" s="6" t="s">
        <v>19</v>
      </c>
      <c r="B10" s="6" t="s">
        <v>20</v>
      </c>
      <c r="C10" s="6" t="s">
        <v>21</v>
      </c>
      <c r="I10" s="6">
        <f>IFERROR(__xludf.DUMMYFUNCTION("""COMPUTED_VALUE"""),8.0)</f>
        <v>8</v>
      </c>
      <c r="N10" s="6">
        <f>IFERROR(__xludf.DUMMYFUNCTION("""COMPUTED_VALUE"""),6.25)</f>
        <v>6.25</v>
      </c>
      <c r="R10" s="6">
        <f>IFERROR(__xludf.DUMMYFUNCTION("""COMPUTED_VALUE"""),0.0)</f>
        <v>0</v>
      </c>
      <c r="T10" s="6">
        <f>IFERROR(__xludf.DUMMYFUNCTION("""COMPUTED_VALUE"""),0.0)</f>
        <v>0</v>
      </c>
    </row>
    <row r="11">
      <c r="A11" s="6" t="s">
        <v>22</v>
      </c>
      <c r="B11" s="6" t="s">
        <v>23</v>
      </c>
      <c r="C11" s="6" t="s">
        <v>24</v>
      </c>
      <c r="I11" s="6">
        <f>IFERROR(__xludf.DUMMYFUNCTION("""COMPUTED_VALUE"""),6.0)</f>
        <v>6</v>
      </c>
      <c r="N11" s="6">
        <f>IFERROR(__xludf.DUMMYFUNCTION("""COMPUTED_VALUE"""),6.25)</f>
        <v>6.25</v>
      </c>
      <c r="R11" s="6">
        <f>IFERROR(__xludf.DUMMYFUNCTION("""COMPUTED_VALUE"""),0.0)</f>
        <v>0</v>
      </c>
      <c r="T11" s="6">
        <f>IFERROR(__xludf.DUMMYFUNCTION("""COMPUTED_VALUE"""),0.0)</f>
        <v>0</v>
      </c>
    </row>
    <row r="13">
      <c r="A13" s="7" t="s">
        <v>25</v>
      </c>
    </row>
    <row r="14">
      <c r="A14" s="6" t="s">
        <v>2</v>
      </c>
      <c r="B14" s="6" t="s">
        <v>3</v>
      </c>
      <c r="C14" s="6" t="s">
        <v>4</v>
      </c>
    </row>
    <row r="15">
      <c r="A15" s="6" t="s">
        <v>26</v>
      </c>
      <c r="B15" s="6" t="s">
        <v>27</v>
      </c>
      <c r="C15" s="6" t="s">
        <v>28</v>
      </c>
    </row>
    <row r="16">
      <c r="A16" s="6" t="s">
        <v>29</v>
      </c>
      <c r="B16" s="6" t="s">
        <v>30</v>
      </c>
      <c r="C16" s="6" t="s">
        <v>7</v>
      </c>
    </row>
    <row r="17">
      <c r="A17" s="6" t="s">
        <v>31</v>
      </c>
      <c r="B17" s="6" t="s">
        <v>12</v>
      </c>
      <c r="C17" s="6" t="s">
        <v>12</v>
      </c>
    </row>
    <row r="18">
      <c r="A18" s="6" t="s">
        <v>32</v>
      </c>
      <c r="B18" s="6" t="s">
        <v>14</v>
      </c>
      <c r="C18" s="6" t="s">
        <v>15</v>
      </c>
    </row>
    <row r="19">
      <c r="A19" s="6" t="s">
        <v>33</v>
      </c>
      <c r="B19" s="6" t="s">
        <v>34</v>
      </c>
      <c r="C19" s="6" t="s">
        <v>35</v>
      </c>
    </row>
    <row r="20">
      <c r="A20" s="6" t="s">
        <v>36</v>
      </c>
      <c r="B20" s="6" t="s">
        <v>20</v>
      </c>
      <c r="C20" s="6" t="s">
        <v>21</v>
      </c>
    </row>
    <row r="21" ht="15.75" customHeight="1">
      <c r="A21" s="6" t="s">
        <v>37</v>
      </c>
      <c r="B21" s="6" t="s">
        <v>23</v>
      </c>
      <c r="C21" s="6" t="s">
        <v>24</v>
      </c>
    </row>
    <row r="22" ht="15.75" customHeight="1"/>
    <row r="23" ht="15.75" customHeight="1"/>
    <row r="24" ht="15.75" customHeight="1">
      <c r="A24" s="7" t="s">
        <v>38</v>
      </c>
    </row>
    <row r="25" ht="15.75" customHeight="1">
      <c r="A25" s="6" t="s">
        <v>2</v>
      </c>
      <c r="B25" s="6" t="s">
        <v>3</v>
      </c>
      <c r="C25" s="6" t="s">
        <v>4</v>
      </c>
    </row>
    <row r="26" ht="15.75" customHeight="1">
      <c r="A26" s="6" t="s">
        <v>39</v>
      </c>
      <c r="B26" s="6" t="s">
        <v>40</v>
      </c>
      <c r="C26" s="6" t="s">
        <v>41</v>
      </c>
    </row>
    <row r="27" ht="15.75" customHeight="1">
      <c r="A27" s="6" t="s">
        <v>42</v>
      </c>
      <c r="B27" s="6" t="s">
        <v>43</v>
      </c>
      <c r="C27" s="6" t="s">
        <v>7</v>
      </c>
    </row>
    <row r="28" ht="15.75" customHeight="1">
      <c r="A28" s="6" t="s">
        <v>44</v>
      </c>
      <c r="B28" s="6" t="s">
        <v>45</v>
      </c>
      <c r="C28" s="6" t="s">
        <v>12</v>
      </c>
    </row>
    <row r="29" ht="15.75" customHeight="1">
      <c r="A29" s="6" t="s">
        <v>46</v>
      </c>
      <c r="B29" s="6" t="s">
        <v>47</v>
      </c>
      <c r="C29" s="6" t="s">
        <v>35</v>
      </c>
    </row>
    <row r="30" ht="15.75" customHeight="1">
      <c r="A30" s="6" t="s">
        <v>48</v>
      </c>
      <c r="B30" s="6" t="s">
        <v>49</v>
      </c>
      <c r="C30" s="6" t="s">
        <v>21</v>
      </c>
    </row>
    <row r="31" ht="15.75" customHeight="1">
      <c r="A31" s="6" t="s">
        <v>50</v>
      </c>
      <c r="B31" s="6" t="s">
        <v>51</v>
      </c>
      <c r="C31" s="6" t="s">
        <v>24</v>
      </c>
    </row>
    <row r="32" ht="15.75" customHeight="1">
      <c r="A32" s="6" t="s">
        <v>52</v>
      </c>
      <c r="B32" s="6" t="s">
        <v>53</v>
      </c>
      <c r="C32" s="6" t="s">
        <v>54</v>
      </c>
    </row>
    <row r="33" ht="15.75" customHeight="1"/>
    <row r="34" ht="15.75" customHeight="1">
      <c r="A34" s="7" t="s">
        <v>55</v>
      </c>
    </row>
    <row r="35" ht="15.75" customHeight="1">
      <c r="A35" s="6" t="s">
        <v>2</v>
      </c>
      <c r="B35" s="6" t="s">
        <v>3</v>
      </c>
      <c r="C35" s="6" t="s">
        <v>4</v>
      </c>
    </row>
    <row r="36" ht="15.75" customHeight="1">
      <c r="A36" s="6" t="s">
        <v>56</v>
      </c>
      <c r="B36" s="6" t="s">
        <v>57</v>
      </c>
      <c r="C36" s="6" t="s">
        <v>7</v>
      </c>
    </row>
    <row r="37" ht="15.75" customHeight="1">
      <c r="A37" s="6" t="s">
        <v>58</v>
      </c>
      <c r="B37" s="6" t="s">
        <v>59</v>
      </c>
      <c r="C37" s="6" t="s">
        <v>12</v>
      </c>
    </row>
    <row r="38" ht="15.75" customHeight="1">
      <c r="A38" s="6" t="s">
        <v>60</v>
      </c>
      <c r="B38" s="6" t="s">
        <v>61</v>
      </c>
      <c r="C38" s="6" t="s">
        <v>15</v>
      </c>
    </row>
    <row r="39" ht="15.75" customHeight="1">
      <c r="A39" s="6" t="s">
        <v>33</v>
      </c>
      <c r="B39" s="6" t="s">
        <v>62</v>
      </c>
      <c r="C39" s="6" t="s">
        <v>35</v>
      </c>
    </row>
    <row r="40" ht="15.75" customHeight="1">
      <c r="A40" s="6" t="s">
        <v>63</v>
      </c>
      <c r="B40" s="6" t="s">
        <v>64</v>
      </c>
      <c r="C40" s="6" t="s">
        <v>21</v>
      </c>
    </row>
    <row r="41" ht="15.75" customHeight="1">
      <c r="A41" s="6" t="s">
        <v>65</v>
      </c>
      <c r="B41" s="6" t="s">
        <v>66</v>
      </c>
      <c r="C41" s="6" t="s">
        <v>24</v>
      </c>
    </row>
    <row r="42" ht="15.75" customHeight="1">
      <c r="A42" s="6" t="s">
        <v>67</v>
      </c>
      <c r="B42" s="6" t="s">
        <v>68</v>
      </c>
      <c r="C42" s="6" t="s">
        <v>69</v>
      </c>
    </row>
    <row r="43" ht="15.75" customHeight="1"/>
    <row r="44" ht="15.75" customHeight="1">
      <c r="A44" s="7" t="s">
        <v>70</v>
      </c>
    </row>
    <row r="45" ht="15.75" customHeight="1">
      <c r="A45" s="6" t="s">
        <v>2</v>
      </c>
      <c r="B45" s="6" t="s">
        <v>3</v>
      </c>
      <c r="C45" s="6" t="s">
        <v>4</v>
      </c>
    </row>
    <row r="46" ht="15.75" customHeight="1">
      <c r="A46" s="6" t="s">
        <v>26</v>
      </c>
      <c r="B46" s="6" t="s">
        <v>27</v>
      </c>
      <c r="C46" s="6" t="s">
        <v>41</v>
      </c>
    </row>
    <row r="47" ht="15.75" customHeight="1">
      <c r="A47" s="6" t="s">
        <v>5</v>
      </c>
      <c r="B47" s="6" t="s">
        <v>6</v>
      </c>
      <c r="C47" s="6" t="s">
        <v>7</v>
      </c>
    </row>
    <row r="48" ht="15.75" customHeight="1">
      <c r="A48" s="6" t="s">
        <v>71</v>
      </c>
      <c r="B48" s="6" t="s">
        <v>10</v>
      </c>
      <c r="C48" s="6" t="s">
        <v>10</v>
      </c>
    </row>
    <row r="49" ht="15.75" customHeight="1">
      <c r="A49" s="6" t="s">
        <v>60</v>
      </c>
      <c r="B49" s="6" t="s">
        <v>14</v>
      </c>
      <c r="C49" s="6" t="s">
        <v>15</v>
      </c>
    </row>
    <row r="50" ht="15.75" customHeight="1">
      <c r="A50" s="6" t="s">
        <v>72</v>
      </c>
      <c r="B50" s="6" t="s">
        <v>73</v>
      </c>
      <c r="C50" s="6" t="s">
        <v>35</v>
      </c>
    </row>
    <row r="51" ht="15.75" customHeight="1">
      <c r="A51" s="6" t="s">
        <v>74</v>
      </c>
      <c r="B51" s="6" t="s">
        <v>75</v>
      </c>
      <c r="C51" s="6" t="s">
        <v>18</v>
      </c>
    </row>
    <row r="52" ht="15.75" customHeight="1">
      <c r="A52" s="6" t="s">
        <v>63</v>
      </c>
      <c r="B52" s="6" t="s">
        <v>20</v>
      </c>
      <c r="C52" s="6" t="s">
        <v>21</v>
      </c>
    </row>
    <row r="53" ht="15.0" customHeight="1">
      <c r="A53" s="6" t="s">
        <v>76</v>
      </c>
      <c r="B53" s="6" t="s">
        <v>23</v>
      </c>
      <c r="C53" s="6" t="s">
        <v>24</v>
      </c>
    </row>
    <row r="54" ht="15.0" customHeight="1"/>
    <row r="55" ht="15.75" customHeight="1">
      <c r="A55" s="7" t="s">
        <v>77</v>
      </c>
    </row>
    <row r="56" ht="15.75" customHeight="1">
      <c r="A56" s="6" t="s">
        <v>2</v>
      </c>
      <c r="B56" s="6" t="s">
        <v>3</v>
      </c>
      <c r="C56" s="6" t="s">
        <v>4</v>
      </c>
    </row>
    <row r="57" ht="15.75" customHeight="1">
      <c r="A57" s="6" t="s">
        <v>26</v>
      </c>
      <c r="B57" s="6" t="s">
        <v>27</v>
      </c>
      <c r="C57" s="6" t="s">
        <v>28</v>
      </c>
    </row>
    <row r="58" ht="15.75" customHeight="1">
      <c r="A58" s="6" t="s">
        <v>78</v>
      </c>
      <c r="B58" s="6" t="s">
        <v>6</v>
      </c>
      <c r="C58" s="6" t="s">
        <v>7</v>
      </c>
    </row>
    <row r="59" ht="15.75" customHeight="1">
      <c r="A59" s="6" t="s">
        <v>79</v>
      </c>
      <c r="B59" s="6" t="s">
        <v>9</v>
      </c>
      <c r="C59" s="6" t="s">
        <v>10</v>
      </c>
    </row>
    <row r="60" ht="15.75" customHeight="1">
      <c r="A60" s="6" t="s">
        <v>60</v>
      </c>
      <c r="B60" s="6" t="s">
        <v>14</v>
      </c>
      <c r="C60" s="6" t="s">
        <v>15</v>
      </c>
    </row>
    <row r="61" ht="15.75" customHeight="1">
      <c r="A61" s="6" t="s">
        <v>80</v>
      </c>
      <c r="B61" s="6" t="s">
        <v>35</v>
      </c>
      <c r="C61" s="6" t="s">
        <v>35</v>
      </c>
    </row>
    <row r="62" ht="15.75" customHeight="1">
      <c r="A62" s="6" t="s">
        <v>81</v>
      </c>
      <c r="B62" s="6" t="s">
        <v>12</v>
      </c>
      <c r="C62" s="6" t="s">
        <v>12</v>
      </c>
    </row>
    <row r="63" ht="15.75" customHeight="1">
      <c r="A63" s="6" t="s">
        <v>63</v>
      </c>
      <c r="B63" s="6" t="s">
        <v>20</v>
      </c>
      <c r="C63" s="6" t="s">
        <v>21</v>
      </c>
    </row>
    <row r="64" ht="15.75" customHeight="1">
      <c r="A64" s="6" t="s">
        <v>82</v>
      </c>
      <c r="B64" s="6" t="s">
        <v>18</v>
      </c>
      <c r="C64" s="6" t="s">
        <v>18</v>
      </c>
    </row>
    <row r="65" ht="15.75" customHeight="1">
      <c r="A65" s="6" t="s">
        <v>83</v>
      </c>
      <c r="B65" s="6" t="s">
        <v>23</v>
      </c>
      <c r="C65" s="6" t="s">
        <v>24</v>
      </c>
    </row>
    <row r="66" ht="15.75" customHeight="1"/>
    <row r="67" ht="15.75" customHeight="1">
      <c r="A67" s="7" t="s">
        <v>84</v>
      </c>
    </row>
    <row r="68" ht="15.75" customHeight="1">
      <c r="A68" s="6" t="s">
        <v>2</v>
      </c>
      <c r="B68" s="6" t="s">
        <v>3</v>
      </c>
      <c r="C68" s="6" t="s">
        <v>4</v>
      </c>
    </row>
    <row r="69" ht="15.75" customHeight="1">
      <c r="A69" s="6" t="s">
        <v>26</v>
      </c>
      <c r="B69" s="6" t="s">
        <v>27</v>
      </c>
      <c r="C69" s="6" t="s">
        <v>85</v>
      </c>
    </row>
    <row r="70" ht="15.75" customHeight="1">
      <c r="A70" s="6" t="s">
        <v>86</v>
      </c>
      <c r="B70" s="6" t="s">
        <v>6</v>
      </c>
      <c r="C70" s="6" t="s">
        <v>7</v>
      </c>
    </row>
    <row r="71" ht="15.75" customHeight="1">
      <c r="A71" s="6" t="s">
        <v>87</v>
      </c>
      <c r="B71" s="6" t="s">
        <v>9</v>
      </c>
      <c r="C71" s="6" t="s">
        <v>10</v>
      </c>
    </row>
    <row r="72" ht="15.75" customHeight="1">
      <c r="A72" s="6" t="s">
        <v>88</v>
      </c>
      <c r="B72" s="6" t="s">
        <v>12</v>
      </c>
      <c r="C72" s="6" t="s">
        <v>12</v>
      </c>
    </row>
    <row r="73" ht="15.75" customHeight="1">
      <c r="A73" s="6" t="s">
        <v>89</v>
      </c>
      <c r="B73" s="6" t="s">
        <v>90</v>
      </c>
      <c r="C73" s="6" t="s">
        <v>35</v>
      </c>
    </row>
    <row r="74" ht="15.75" customHeight="1">
      <c r="A74" s="6" t="s">
        <v>63</v>
      </c>
      <c r="B74" s="6" t="s">
        <v>20</v>
      </c>
      <c r="C74" s="6" t="s">
        <v>21</v>
      </c>
    </row>
    <row r="75" ht="15.75" customHeight="1">
      <c r="A75" s="6" t="s">
        <v>82</v>
      </c>
      <c r="B75" s="6" t="s">
        <v>18</v>
      </c>
      <c r="C75" s="6" t="s">
        <v>18</v>
      </c>
    </row>
    <row r="76" ht="15.75" customHeight="1">
      <c r="A76" s="6" t="s">
        <v>91</v>
      </c>
      <c r="B76" s="6" t="s">
        <v>23</v>
      </c>
      <c r="C76" s="6" t="s">
        <v>24</v>
      </c>
    </row>
    <row r="77" ht="15.75" customHeight="1">
      <c r="A77" s="7" t="s">
        <v>92</v>
      </c>
    </row>
    <row r="78" ht="15.75" customHeight="1">
      <c r="A78" s="6" t="s">
        <v>2</v>
      </c>
      <c r="B78" s="6" t="s">
        <v>3</v>
      </c>
      <c r="C78" s="6" t="s">
        <v>4</v>
      </c>
    </row>
    <row r="79" ht="15.75" customHeight="1">
      <c r="A79" s="6" t="s">
        <v>26</v>
      </c>
      <c r="B79" s="6" t="s">
        <v>27</v>
      </c>
      <c r="C79" s="6" t="s">
        <v>85</v>
      </c>
    </row>
    <row r="80" ht="15.75" customHeight="1">
      <c r="A80" s="6" t="s">
        <v>86</v>
      </c>
      <c r="B80" s="6" t="s">
        <v>6</v>
      </c>
      <c r="C80" s="6" t="s">
        <v>7</v>
      </c>
    </row>
    <row r="81" ht="15.75" customHeight="1">
      <c r="A81" s="6" t="s">
        <v>87</v>
      </c>
      <c r="B81" s="6" t="s">
        <v>9</v>
      </c>
      <c r="C81" s="6" t="s">
        <v>10</v>
      </c>
    </row>
    <row r="82" ht="15.75" customHeight="1">
      <c r="A82" s="6" t="s">
        <v>88</v>
      </c>
      <c r="B82" s="6" t="s">
        <v>12</v>
      </c>
      <c r="C82" s="6" t="s">
        <v>12</v>
      </c>
    </row>
    <row r="83" ht="15.75" customHeight="1">
      <c r="A83" s="6" t="s">
        <v>89</v>
      </c>
      <c r="B83" s="6" t="s">
        <v>90</v>
      </c>
      <c r="C83" s="6" t="s">
        <v>35</v>
      </c>
    </row>
    <row r="84" ht="15.75" customHeight="1">
      <c r="A84" s="6" t="s">
        <v>63</v>
      </c>
      <c r="B84" s="6" t="s">
        <v>20</v>
      </c>
      <c r="C84" s="6" t="s">
        <v>21</v>
      </c>
    </row>
    <row r="85" ht="15.75" customHeight="1">
      <c r="A85" s="6" t="s">
        <v>82</v>
      </c>
      <c r="B85" s="6" t="s">
        <v>18</v>
      </c>
      <c r="C85" s="6" t="s">
        <v>18</v>
      </c>
    </row>
    <row r="86" ht="15.75" customHeight="1">
      <c r="A86" s="6" t="s">
        <v>91</v>
      </c>
      <c r="B86" s="6" t="s">
        <v>23</v>
      </c>
      <c r="C86" s="6" t="s">
        <v>24</v>
      </c>
    </row>
    <row r="87" ht="15.75" customHeight="1"/>
    <row r="88" ht="15.75" customHeight="1">
      <c r="A88" s="7" t="s">
        <v>93</v>
      </c>
    </row>
    <row r="89" ht="15.75" customHeight="1">
      <c r="A89" s="6" t="s">
        <v>2</v>
      </c>
      <c r="B89" s="6" t="s">
        <v>3</v>
      </c>
      <c r="C89" s="6" t="s">
        <v>4</v>
      </c>
    </row>
    <row r="90" ht="15.75" customHeight="1">
      <c r="A90" s="6" t="s">
        <v>94</v>
      </c>
      <c r="B90" s="6" t="s">
        <v>95</v>
      </c>
      <c r="C90" s="6" t="s">
        <v>7</v>
      </c>
    </row>
    <row r="91" ht="15.75" customHeight="1">
      <c r="A91" s="6" t="s">
        <v>11</v>
      </c>
      <c r="B91" s="6" t="s">
        <v>12</v>
      </c>
      <c r="C91" s="6" t="s">
        <v>12</v>
      </c>
    </row>
    <row r="92" ht="15.75" customHeight="1">
      <c r="A92" s="6" t="s">
        <v>13</v>
      </c>
      <c r="B92" s="6" t="s">
        <v>14</v>
      </c>
      <c r="C92" s="6" t="s">
        <v>15</v>
      </c>
    </row>
    <row r="93" ht="15.75" customHeight="1">
      <c r="A93" s="6" t="s">
        <v>96</v>
      </c>
      <c r="B93" s="6" t="s">
        <v>73</v>
      </c>
      <c r="C93" s="6" t="s">
        <v>35</v>
      </c>
    </row>
    <row r="94" ht="15.75" customHeight="1">
      <c r="A94" s="6" t="s">
        <v>82</v>
      </c>
      <c r="B94" s="6" t="s">
        <v>18</v>
      </c>
      <c r="C94" s="6" t="s">
        <v>18</v>
      </c>
    </row>
    <row r="95" ht="15.75" customHeight="1">
      <c r="A95" s="6" t="s">
        <v>97</v>
      </c>
      <c r="B95" s="6" t="s">
        <v>20</v>
      </c>
      <c r="C95" s="6" t="s">
        <v>21</v>
      </c>
    </row>
    <row r="96" ht="15.75" customHeight="1">
      <c r="A96" s="6" t="s">
        <v>98</v>
      </c>
      <c r="B96" s="6" t="s">
        <v>99</v>
      </c>
      <c r="C96" s="6" t="s">
        <v>54</v>
      </c>
    </row>
    <row r="97" ht="15.75" customHeight="1">
      <c r="A97" s="6" t="s">
        <v>100</v>
      </c>
      <c r="B97" s="6" t="s">
        <v>24</v>
      </c>
      <c r="C97" s="6" t="s">
        <v>24</v>
      </c>
    </row>
    <row r="98" ht="15.75" customHeight="1"/>
    <row r="99" ht="15.75" customHeight="1">
      <c r="A99" s="7" t="s">
        <v>101</v>
      </c>
    </row>
    <row r="100" ht="15.75" customHeight="1">
      <c r="A100" s="6" t="s">
        <v>2</v>
      </c>
      <c r="B100" s="6" t="s">
        <v>3</v>
      </c>
      <c r="C100" s="6" t="s">
        <v>4</v>
      </c>
    </row>
    <row r="101" ht="15.75" customHeight="1">
      <c r="A101" s="6" t="s">
        <v>26</v>
      </c>
      <c r="B101" s="6" t="s">
        <v>27</v>
      </c>
      <c r="C101" s="6" t="s">
        <v>28</v>
      </c>
    </row>
    <row r="102" ht="15.75" customHeight="1">
      <c r="A102" s="6" t="s">
        <v>102</v>
      </c>
      <c r="B102" s="6" t="s">
        <v>30</v>
      </c>
      <c r="C102" s="6" t="s">
        <v>7</v>
      </c>
    </row>
    <row r="103" ht="15.75" customHeight="1">
      <c r="A103" s="6" t="s">
        <v>103</v>
      </c>
      <c r="B103" s="6" t="s">
        <v>14</v>
      </c>
      <c r="C103" s="6" t="s">
        <v>15</v>
      </c>
    </row>
    <row r="104" ht="15.75" customHeight="1">
      <c r="A104" s="6" t="s">
        <v>104</v>
      </c>
      <c r="B104" s="6" t="s">
        <v>73</v>
      </c>
      <c r="C104" s="6" t="s">
        <v>35</v>
      </c>
    </row>
    <row r="105" ht="15.75" customHeight="1">
      <c r="A105" s="6" t="s">
        <v>105</v>
      </c>
      <c r="B105" s="6" t="s">
        <v>106</v>
      </c>
      <c r="C105" s="6" t="s">
        <v>18</v>
      </c>
    </row>
    <row r="106" ht="15.75" customHeight="1">
      <c r="A106" s="6" t="s">
        <v>97</v>
      </c>
      <c r="B106" s="6" t="s">
        <v>20</v>
      </c>
      <c r="C106" s="6" t="s">
        <v>21</v>
      </c>
    </row>
    <row r="107" ht="15.75" customHeight="1">
      <c r="A107" s="6" t="s">
        <v>107</v>
      </c>
      <c r="B107" s="6" t="s">
        <v>23</v>
      </c>
      <c r="C107" s="6" t="s">
        <v>24</v>
      </c>
    </row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9.43"/>
    <col customWidth="1" min="2" max="2" width="81.86"/>
    <col customWidth="1" min="3" max="3" width="36.43"/>
    <col customWidth="1" min="4" max="5" width="8.71"/>
    <col customWidth="1" min="6" max="6" width="13.29"/>
    <col customWidth="1" min="7" max="26" width="8.71"/>
  </cols>
  <sheetData>
    <row r="1">
      <c r="A1" s="1" t="s">
        <v>108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E2" s="6">
        <f>AVERAGE(COUNTA(B5:B9),COUNTA(C14:C17),COUNTA(C21:C25),COUNTA(C30:C35),COUNTA(B39:B44),COUNTA(B49:B54),COUNTA(B58:B62),COUNTA(B66:B71),COUNTA(B75:B80),COUNTA(B85:B90))</f>
        <v>5.4</v>
      </c>
      <c r="F2" s="8">
        <f>STDEV(COUNTA(B5:B9),COUNTA(C14:C17),COUNTA(C21:C25),COUNTA(C30:C35),COUNTA(B39:B44),COUNTA(B49:B54),COUNTA(B58:B62),COUNTA(B66:B71),COUNTA(B75:B80),COUNTA(B85:B90))</f>
        <v>0.8432740427</v>
      </c>
      <c r="I2" s="6">
        <f>IFERROR(__xludf.DUMMYFUNCTION("LET(
runCol,$A$1:$A$300,
runRows,FILTER(ROW(runCol),ISNUMBER(SEARCH(""Run "",runCol))),
lastUsed,MAX(FILTER(ROW(runCol),runCol&lt;&gt;"""")),
BYROW(runRows,LAMBDA(r,
  LET(
    k,XMATCH(r,runRows),
    nextRun,IFERROR(INDEX(runRows,k+1),lastUsed+1),
    rng,IND"&amp;"EX($B:$B,r+2):INDEX($B:$B,nextRun-1),
    SUMPRODUCT((rng&lt;&gt;"""")*(LEFT(TRIM(rng),1)&lt;&gt;""-""))
  )
))
)"),5.0)</f>
        <v>5</v>
      </c>
      <c r="L2" s="6">
        <f>IFERROR(__xludf.DUMMYFUNCTION("LET(
runCol,$A$1:$A$300,
runRows,FILTER(ROW(runCol),ISNUMBER(SEARCH(""Run "",runCol))),
lastUsed,MAX(FILTER(ROW(runCol),runCol&lt;&gt;"""")),
x,BYROW(runRows,LAMBDA(r,
  LET(
    k,XMATCH(r,runRows),
    nextRun,IFERROR(INDEX(runRows,k+1),lastUsed+1),
    rng,I"&amp;"NDEX($B:$B,r+2):INDEX($B:$B,nextRun-1),
    SUMPRODUCT((rng&lt;&gt;"""")*(LEFT(TRIM(rng),1)&lt;&gt;""-""))
  )
)),
HSTACK(AVERAGE(x),STDEV.S(x))
)"),5.5)</f>
        <v>5.5</v>
      </c>
      <c r="M2" s="6">
        <f>IFERROR(__xludf.DUMMYFUNCTION("""COMPUTED_VALUE"""),0.7071067811865472)</f>
        <v>0.7071067812</v>
      </c>
      <c r="Q2" s="6">
        <f>IFERROR(__xludf.DUMMYFUNCTION("LET(
expected,{
""Business Stakeholder"";
""Business Analyst"";
""Domain Expert"";
""Data Scientist"";
""Data Engineer"";
""Data Steward"";
""Scientist"";
""ML Engineer / Developer"";
""Solution Architect"";
""Software Engineer"";
""Software Developer"";
"&amp;"""Application Developer"";
""DevOps Engineer"";
""MLOps Engineer"";
""Operations Engineer"";
""IT Operations / Professional""
},
norm,LAMBDA(t,LOWER(TRIM(SUBSTITUTE(SUBSTITUTE(SUBSTITUTE(SUBSTITUTE(SUBSTITUTE(SUBSTITUTE(SUBSTITUTE(t,CHAR(10),"",""),"";"","&amp;""",""),""|"","",""),""•"","",""),"" / "",""/""),"" /"",""/""),""/ "",""/"")))),
expNorm,MAP(expected,norm),
runCol,$A$1:$A$300,
runRows,FILTER(ROW(runCol),ISNUMBER(SEARCH(""Run "",runCol))),
lastUsed,MAX(FILTER(ROW(runCol),runCol&lt;&gt;"""")),
x,BYROW(runRows,"&amp;"LAMBDA(r,
  LET(
    k,XMATCH(r,runRows),
    nextRun,IFERROR(INDEX(runRows,k+1),lastUsed+1),
    rng,INDEX($B:$B,r+2):INDEX($B:$B,nextRun-1),
    txt,"","" &amp; norm(TEXTJOIN("","",TRUE,rng)) &amp; "","",
    occ,MAP(expNorm,LAMBDA(a,(LEN(txt)-LEN(SUBSTITUTE(tx"&amp;"t,"",""&amp;a&amp;"","","""")))/LEN("",""&amp;a&amp;"",""))),
    SUM(MAP(occ,LAMBDA(n,MAX(n-1,0))))
  )
)),
HSTACK(AVERAGE(x),STDEV.S(x))
)"),0.0)</f>
        <v>0</v>
      </c>
      <c r="R2" s="6">
        <f>IFERROR(__xludf.DUMMYFUNCTION("""COMPUTED_VALUE"""),0.0)</f>
        <v>0</v>
      </c>
    </row>
    <row r="3">
      <c r="A3" s="7" t="s">
        <v>1</v>
      </c>
      <c r="I3" s="6">
        <f>IFERROR(__xludf.DUMMYFUNCTION("""COMPUTED_VALUE"""),4.0)</f>
        <v>4</v>
      </c>
    </row>
    <row r="4">
      <c r="A4" s="6" t="s">
        <v>2</v>
      </c>
      <c r="B4" s="6" t="s">
        <v>3</v>
      </c>
      <c r="C4" s="6" t="s">
        <v>4</v>
      </c>
      <c r="I4" s="6">
        <f>IFERROR(__xludf.DUMMYFUNCTION("""COMPUTED_VALUE"""),5.0)</f>
        <v>5</v>
      </c>
    </row>
    <row r="5">
      <c r="A5" s="6" t="s">
        <v>109</v>
      </c>
      <c r="B5" s="6" t="s">
        <v>110</v>
      </c>
      <c r="C5" s="6" t="s">
        <v>7</v>
      </c>
      <c r="I5" s="6">
        <f>IFERROR(__xludf.DUMMYFUNCTION("""COMPUTED_VALUE"""),6.0)</f>
        <v>6</v>
      </c>
    </row>
    <row r="6">
      <c r="A6" s="6" t="s">
        <v>111</v>
      </c>
      <c r="B6" s="6" t="s">
        <v>112</v>
      </c>
      <c r="C6" s="6" t="s">
        <v>10</v>
      </c>
      <c r="I6" s="6">
        <f>IFERROR(__xludf.DUMMYFUNCTION("""COMPUTED_VALUE"""),6.0)</f>
        <v>6</v>
      </c>
    </row>
    <row r="7">
      <c r="A7" s="6" t="s">
        <v>113</v>
      </c>
      <c r="B7" s="6" t="s">
        <v>114</v>
      </c>
      <c r="C7" s="6" t="s">
        <v>15</v>
      </c>
      <c r="I7" s="6">
        <f>IFERROR(__xludf.DUMMYFUNCTION("""COMPUTED_VALUE"""),6.0)</f>
        <v>6</v>
      </c>
    </row>
    <row r="8">
      <c r="A8" s="6" t="s">
        <v>115</v>
      </c>
      <c r="B8" s="6" t="s">
        <v>116</v>
      </c>
      <c r="C8" s="6" t="s">
        <v>117</v>
      </c>
      <c r="I8" s="6">
        <f>IFERROR(__xludf.DUMMYFUNCTION("""COMPUTED_VALUE"""),5.0)</f>
        <v>5</v>
      </c>
    </row>
    <row r="9">
      <c r="A9" s="6" t="s">
        <v>118</v>
      </c>
      <c r="B9" s="6" t="s">
        <v>119</v>
      </c>
      <c r="C9" s="6" t="s">
        <v>24</v>
      </c>
      <c r="I9" s="6">
        <f>IFERROR(__xludf.DUMMYFUNCTION("""COMPUTED_VALUE"""),6.0)</f>
        <v>6</v>
      </c>
    </row>
    <row r="10">
      <c r="I10" s="6">
        <f>IFERROR(__xludf.DUMMYFUNCTION("""COMPUTED_VALUE"""),6.0)</f>
        <v>6</v>
      </c>
    </row>
    <row r="11">
      <c r="A11" s="7" t="s">
        <v>25</v>
      </c>
      <c r="I11" s="6">
        <f>IFERROR(__xludf.DUMMYFUNCTION("""COMPUTED_VALUE"""),6.0)</f>
        <v>6</v>
      </c>
    </row>
    <row r="12">
      <c r="A12" s="6" t="s">
        <v>2</v>
      </c>
      <c r="B12" s="6" t="s">
        <v>3</v>
      </c>
      <c r="C12" s="6" t="s">
        <v>4</v>
      </c>
    </row>
    <row r="13">
      <c r="A13" s="6" t="s">
        <v>41</v>
      </c>
      <c r="B13" s="6" t="s">
        <v>120</v>
      </c>
      <c r="C13" s="6" t="s">
        <v>41</v>
      </c>
    </row>
    <row r="14">
      <c r="A14" s="6" t="s">
        <v>121</v>
      </c>
      <c r="B14" s="6" t="s">
        <v>122</v>
      </c>
      <c r="C14" s="6" t="s">
        <v>7</v>
      </c>
    </row>
    <row r="15">
      <c r="A15" s="6" t="s">
        <v>123</v>
      </c>
      <c r="B15" s="6" t="s">
        <v>124</v>
      </c>
      <c r="C15" s="6" t="s">
        <v>35</v>
      </c>
    </row>
    <row r="16">
      <c r="A16" s="6" t="s">
        <v>125</v>
      </c>
      <c r="B16" s="6" t="s">
        <v>126</v>
      </c>
      <c r="C16" s="6" t="s">
        <v>12</v>
      </c>
    </row>
    <row r="17">
      <c r="A17" s="6" t="s">
        <v>127</v>
      </c>
      <c r="B17" s="6" t="s">
        <v>23</v>
      </c>
      <c r="C17" s="6" t="s">
        <v>24</v>
      </c>
    </row>
    <row r="19">
      <c r="A19" s="7" t="s">
        <v>38</v>
      </c>
    </row>
    <row r="20">
      <c r="A20" s="6" t="s">
        <v>2</v>
      </c>
      <c r="B20" s="6" t="s">
        <v>3</v>
      </c>
      <c r="C20" s="6" t="s">
        <v>4</v>
      </c>
    </row>
    <row r="21" ht="15.75" customHeight="1">
      <c r="A21" s="6" t="s">
        <v>128</v>
      </c>
      <c r="B21" s="6" t="s">
        <v>129</v>
      </c>
      <c r="C21" s="6" t="s">
        <v>7</v>
      </c>
    </row>
    <row r="22" ht="15.75" customHeight="1">
      <c r="A22" s="6" t="s">
        <v>130</v>
      </c>
      <c r="B22" s="9" t="s">
        <v>131</v>
      </c>
      <c r="C22" s="6" t="s">
        <v>15</v>
      </c>
    </row>
    <row r="23" ht="15.75" customHeight="1">
      <c r="A23" s="6" t="s">
        <v>132</v>
      </c>
      <c r="B23" s="6" t="s">
        <v>133</v>
      </c>
      <c r="C23" s="6" t="s">
        <v>18</v>
      </c>
    </row>
    <row r="24" ht="15.75" customHeight="1">
      <c r="A24" s="6" t="s">
        <v>134</v>
      </c>
      <c r="B24" s="6" t="s">
        <v>135</v>
      </c>
      <c r="C24" s="6" t="s">
        <v>12</v>
      </c>
    </row>
    <row r="25" ht="15.75" customHeight="1">
      <c r="A25" s="6" t="s">
        <v>136</v>
      </c>
      <c r="B25" s="6" t="s">
        <v>137</v>
      </c>
    </row>
    <row r="26" ht="15.75" customHeight="1"/>
    <row r="27" ht="15.75" customHeight="1">
      <c r="A27" s="7" t="s">
        <v>55</v>
      </c>
    </row>
    <row r="28" ht="15.75" customHeight="1">
      <c r="A28" s="6" t="s">
        <v>2</v>
      </c>
      <c r="B28" s="6" t="s">
        <v>3</v>
      </c>
      <c r="C28" s="6" t="s">
        <v>4</v>
      </c>
    </row>
    <row r="29" ht="15.75" customHeight="1">
      <c r="A29" s="6" t="s">
        <v>138</v>
      </c>
      <c r="B29" s="6" t="s">
        <v>139</v>
      </c>
      <c r="C29" s="6" t="s">
        <v>41</v>
      </c>
    </row>
    <row r="30" ht="15.75" customHeight="1">
      <c r="A30" s="6" t="s">
        <v>140</v>
      </c>
      <c r="B30" s="6" t="s">
        <v>141</v>
      </c>
      <c r="C30" s="6" t="s">
        <v>7</v>
      </c>
    </row>
    <row r="31" ht="15.75" customHeight="1">
      <c r="A31" s="6" t="s">
        <v>142</v>
      </c>
      <c r="B31" s="6" t="s">
        <v>143</v>
      </c>
      <c r="C31" s="6" t="s">
        <v>10</v>
      </c>
    </row>
    <row r="32" ht="15.75" customHeight="1">
      <c r="A32" s="6" t="s">
        <v>144</v>
      </c>
      <c r="B32" s="6" t="s">
        <v>145</v>
      </c>
      <c r="C32" s="6" t="s">
        <v>35</v>
      </c>
    </row>
    <row r="33" ht="15.75" customHeight="1">
      <c r="A33" s="6" t="s">
        <v>146</v>
      </c>
      <c r="B33" s="6" t="s">
        <v>147</v>
      </c>
      <c r="C33" s="6" t="s">
        <v>18</v>
      </c>
    </row>
    <row r="34" ht="15.75" customHeight="1">
      <c r="A34" s="6" t="s">
        <v>148</v>
      </c>
      <c r="B34" s="6" t="s">
        <v>126</v>
      </c>
      <c r="C34" s="6" t="s">
        <v>12</v>
      </c>
    </row>
    <row r="35" ht="15.75" customHeight="1">
      <c r="A35" s="6" t="s">
        <v>149</v>
      </c>
      <c r="B35" s="6" t="s">
        <v>23</v>
      </c>
      <c r="C35" s="6" t="s">
        <v>24</v>
      </c>
    </row>
    <row r="36" ht="15.75" customHeight="1"/>
    <row r="37" ht="15.75" customHeight="1">
      <c r="A37" s="7" t="s">
        <v>70</v>
      </c>
    </row>
    <row r="38" ht="15.75" customHeight="1">
      <c r="A38" s="6" t="s">
        <v>2</v>
      </c>
      <c r="B38" s="6" t="s">
        <v>3</v>
      </c>
      <c r="C38" s="6" t="s">
        <v>4</v>
      </c>
    </row>
    <row r="39" ht="15.75" customHeight="1">
      <c r="A39" s="6" t="s">
        <v>150</v>
      </c>
      <c r="B39" s="6" t="s">
        <v>151</v>
      </c>
      <c r="C39" s="6" t="s">
        <v>7</v>
      </c>
    </row>
    <row r="40" ht="15.75" customHeight="1">
      <c r="A40" s="6" t="s">
        <v>152</v>
      </c>
      <c r="B40" s="6" t="s">
        <v>153</v>
      </c>
      <c r="C40" s="6" t="s">
        <v>10</v>
      </c>
    </row>
    <row r="41" ht="15.75" customHeight="1">
      <c r="A41" s="6" t="s">
        <v>154</v>
      </c>
      <c r="B41" s="6" t="s">
        <v>155</v>
      </c>
      <c r="C41" s="6" t="s">
        <v>15</v>
      </c>
    </row>
    <row r="42" ht="15.75" customHeight="1">
      <c r="A42" s="6" t="s">
        <v>156</v>
      </c>
      <c r="B42" s="6" t="s">
        <v>157</v>
      </c>
      <c r="C42" s="6" t="s">
        <v>35</v>
      </c>
    </row>
    <row r="43" ht="15.75" customHeight="1">
      <c r="A43" s="6" t="s">
        <v>158</v>
      </c>
      <c r="B43" s="6" t="s">
        <v>21</v>
      </c>
    </row>
    <row r="44" ht="15.75" customHeight="1">
      <c r="A44" s="6" t="s">
        <v>159</v>
      </c>
      <c r="B44" s="6" t="s">
        <v>24</v>
      </c>
    </row>
    <row r="45" ht="15.75" customHeight="1"/>
    <row r="46" ht="15.75" customHeight="1">
      <c r="A46" s="7" t="s">
        <v>77</v>
      </c>
    </row>
    <row r="47" ht="10.5" customHeight="1">
      <c r="A47" s="6" t="s">
        <v>2</v>
      </c>
      <c r="B47" s="6" t="s">
        <v>3</v>
      </c>
      <c r="C47" s="6" t="s">
        <v>4</v>
      </c>
    </row>
    <row r="48" ht="15.75" customHeight="1">
      <c r="A48" s="6" t="s">
        <v>26</v>
      </c>
      <c r="B48" s="6" t="s">
        <v>160</v>
      </c>
      <c r="C48" s="6" t="s">
        <v>28</v>
      </c>
    </row>
    <row r="49" ht="15.75" customHeight="1">
      <c r="A49" s="6" t="s">
        <v>29</v>
      </c>
      <c r="B49" s="6" t="s">
        <v>6</v>
      </c>
      <c r="C49" s="6" t="s">
        <v>7</v>
      </c>
    </row>
    <row r="50" ht="15.75" customHeight="1">
      <c r="A50" s="6" t="s">
        <v>161</v>
      </c>
      <c r="B50" s="6" t="s">
        <v>162</v>
      </c>
      <c r="C50" s="6" t="s">
        <v>163</v>
      </c>
    </row>
    <row r="51" ht="15.75" customHeight="1">
      <c r="A51" s="6" t="s">
        <v>164</v>
      </c>
      <c r="B51" s="6" t="s">
        <v>15</v>
      </c>
      <c r="C51" s="6" t="s">
        <v>15</v>
      </c>
    </row>
    <row r="52" ht="15.75" customHeight="1">
      <c r="A52" s="6" t="s">
        <v>165</v>
      </c>
      <c r="B52" s="6" t="s">
        <v>73</v>
      </c>
      <c r="C52" s="6" t="s">
        <v>35</v>
      </c>
    </row>
    <row r="53" ht="15.75" customHeight="1">
      <c r="A53" s="6" t="s">
        <v>166</v>
      </c>
      <c r="B53" s="6" t="s">
        <v>167</v>
      </c>
      <c r="C53" s="6" t="s">
        <v>21</v>
      </c>
    </row>
    <row r="54" ht="15.75" customHeight="1">
      <c r="A54" s="6" t="s">
        <v>168</v>
      </c>
      <c r="B54" s="6" t="s">
        <v>169</v>
      </c>
      <c r="C54" s="6" t="s">
        <v>24</v>
      </c>
    </row>
    <row r="55" ht="15.75" customHeight="1"/>
    <row r="56" ht="15.75" customHeight="1">
      <c r="A56" s="7" t="s">
        <v>84</v>
      </c>
    </row>
    <row r="57" ht="15.75" customHeight="1">
      <c r="A57" s="6" t="s">
        <v>2</v>
      </c>
      <c r="B57" s="6" t="s">
        <v>3</v>
      </c>
      <c r="C57" s="6" t="s">
        <v>4</v>
      </c>
    </row>
    <row r="58" ht="15.75" customHeight="1">
      <c r="A58" s="6" t="s">
        <v>170</v>
      </c>
      <c r="B58" s="6" t="s">
        <v>171</v>
      </c>
      <c r="C58" s="6" t="s">
        <v>7</v>
      </c>
    </row>
    <row r="59" ht="15.75" customHeight="1">
      <c r="A59" s="6" t="s">
        <v>172</v>
      </c>
      <c r="B59" s="6" t="s">
        <v>173</v>
      </c>
      <c r="C59" s="6" t="s">
        <v>10</v>
      </c>
    </row>
    <row r="60" ht="15.75" customHeight="1">
      <c r="A60" s="6" t="s">
        <v>174</v>
      </c>
      <c r="B60" s="6" t="s">
        <v>175</v>
      </c>
      <c r="C60" s="6" t="s">
        <v>15</v>
      </c>
    </row>
    <row r="61" ht="15.75" customHeight="1">
      <c r="A61" s="6" t="s">
        <v>176</v>
      </c>
      <c r="B61" s="6" t="s">
        <v>177</v>
      </c>
    </row>
    <row r="62" ht="15.75" customHeight="1">
      <c r="A62" s="6" t="s">
        <v>178</v>
      </c>
      <c r="B62" s="6" t="s">
        <v>179</v>
      </c>
      <c r="C62" s="6" t="s">
        <v>24</v>
      </c>
    </row>
    <row r="63" ht="15.75" customHeight="1"/>
    <row r="64" ht="15.75" customHeight="1">
      <c r="A64" s="7" t="s">
        <v>92</v>
      </c>
    </row>
    <row r="65" ht="15.75" customHeight="1">
      <c r="A65" s="6" t="s">
        <v>2</v>
      </c>
      <c r="B65" s="6" t="s">
        <v>3</v>
      </c>
      <c r="C65" s="6" t="s">
        <v>4</v>
      </c>
    </row>
    <row r="66" ht="15.75" customHeight="1">
      <c r="A66" s="6" t="s">
        <v>180</v>
      </c>
      <c r="B66" s="6" t="s">
        <v>181</v>
      </c>
      <c r="C66" s="6" t="s">
        <v>7</v>
      </c>
    </row>
    <row r="67" ht="15.75" customHeight="1">
      <c r="A67" s="6" t="s">
        <v>130</v>
      </c>
      <c r="B67" s="6" t="s">
        <v>182</v>
      </c>
      <c r="C67" s="6" t="s">
        <v>15</v>
      </c>
    </row>
    <row r="68" ht="15.75" customHeight="1">
      <c r="A68" s="6" t="s">
        <v>183</v>
      </c>
      <c r="B68" s="6" t="s">
        <v>184</v>
      </c>
      <c r="C68" s="6" t="s">
        <v>18</v>
      </c>
    </row>
    <row r="69" ht="15.75" customHeight="1">
      <c r="A69" s="6" t="s">
        <v>185</v>
      </c>
      <c r="B69" s="6" t="s">
        <v>186</v>
      </c>
      <c r="C69" s="6" t="s">
        <v>21</v>
      </c>
    </row>
    <row r="70" ht="15.75" customHeight="1">
      <c r="A70" s="6" t="s">
        <v>187</v>
      </c>
      <c r="B70" s="6" t="s">
        <v>23</v>
      </c>
      <c r="C70" s="6" t="s">
        <v>24</v>
      </c>
    </row>
    <row r="71" ht="15.75" customHeight="1">
      <c r="A71" s="6" t="s">
        <v>125</v>
      </c>
      <c r="B71" s="6" t="s">
        <v>188</v>
      </c>
      <c r="C71" s="6" t="s">
        <v>12</v>
      </c>
    </row>
    <row r="72" ht="15.75" customHeight="1"/>
    <row r="73" ht="15.75" customHeight="1">
      <c r="A73" s="7" t="s">
        <v>93</v>
      </c>
    </row>
    <row r="74" ht="15.75" customHeight="1">
      <c r="A74" s="6" t="s">
        <v>2</v>
      </c>
      <c r="B74" s="6" t="s">
        <v>3</v>
      </c>
      <c r="C74" s="6" t="s">
        <v>4</v>
      </c>
    </row>
    <row r="75" ht="15.75" customHeight="1">
      <c r="A75" s="6" t="s">
        <v>121</v>
      </c>
      <c r="B75" s="6" t="s">
        <v>122</v>
      </c>
      <c r="C75" s="6" t="s">
        <v>7</v>
      </c>
    </row>
    <row r="76" ht="15.75" customHeight="1">
      <c r="A76" s="6" t="s">
        <v>189</v>
      </c>
      <c r="B76" s="6" t="s">
        <v>190</v>
      </c>
      <c r="C76" s="6" t="s">
        <v>12</v>
      </c>
    </row>
    <row r="77" ht="15.75" customHeight="1">
      <c r="A77" s="6" t="s">
        <v>103</v>
      </c>
      <c r="B77" s="6" t="s">
        <v>191</v>
      </c>
      <c r="C77" s="6" t="s">
        <v>15</v>
      </c>
    </row>
    <row r="78" ht="15.75" customHeight="1">
      <c r="A78" s="6" t="s">
        <v>192</v>
      </c>
      <c r="B78" s="6" t="s">
        <v>193</v>
      </c>
      <c r="C78" s="6" t="s">
        <v>117</v>
      </c>
    </row>
    <row r="79" ht="15.75" customHeight="1">
      <c r="A79" s="6" t="s">
        <v>194</v>
      </c>
      <c r="B79" s="6" t="s">
        <v>195</v>
      </c>
      <c r="C79" s="6" t="s">
        <v>21</v>
      </c>
    </row>
    <row r="80" ht="15.75" customHeight="1">
      <c r="A80" s="6" t="s">
        <v>196</v>
      </c>
      <c r="B80" s="6" t="s">
        <v>119</v>
      </c>
      <c r="C80" s="6" t="s">
        <v>24</v>
      </c>
    </row>
    <row r="81" ht="15.75" customHeight="1"/>
    <row r="82" ht="15.75" customHeight="1">
      <c r="A82" s="7" t="s">
        <v>101</v>
      </c>
    </row>
    <row r="83" ht="15.75" customHeight="1">
      <c r="A83" s="6" t="s">
        <v>2</v>
      </c>
      <c r="B83" s="6" t="s">
        <v>3</v>
      </c>
      <c r="C83" s="6" t="s">
        <v>4</v>
      </c>
    </row>
    <row r="84" ht="15.75" customHeight="1">
      <c r="A84" s="6" t="s">
        <v>197</v>
      </c>
      <c r="B84" s="6" t="s">
        <v>198</v>
      </c>
      <c r="C84" s="6" t="s">
        <v>41</v>
      </c>
    </row>
    <row r="85" ht="15.75" customHeight="1">
      <c r="A85" s="6" t="s">
        <v>199</v>
      </c>
      <c r="B85" s="6" t="s">
        <v>200</v>
      </c>
      <c r="C85" s="6" t="s">
        <v>7</v>
      </c>
    </row>
    <row r="86" ht="15.75" customHeight="1">
      <c r="A86" s="6" t="s">
        <v>201</v>
      </c>
      <c r="B86" s="6" t="s">
        <v>202</v>
      </c>
      <c r="C86" s="6" t="s">
        <v>12</v>
      </c>
    </row>
    <row r="87" ht="15.75" customHeight="1">
      <c r="A87" s="6" t="s">
        <v>203</v>
      </c>
      <c r="B87" s="6" t="s">
        <v>204</v>
      </c>
      <c r="C87" s="6" t="s">
        <v>15</v>
      </c>
    </row>
    <row r="88" ht="15.75" customHeight="1">
      <c r="A88" s="6" t="s">
        <v>205</v>
      </c>
      <c r="B88" s="6" t="s">
        <v>206</v>
      </c>
      <c r="C88" s="6" t="s">
        <v>35</v>
      </c>
    </row>
    <row r="89" ht="15.75" customHeight="1">
      <c r="A89" s="6" t="s">
        <v>207</v>
      </c>
      <c r="B89" s="6" t="s">
        <v>208</v>
      </c>
      <c r="C89" s="6" t="s">
        <v>18</v>
      </c>
    </row>
    <row r="90" ht="15.75" customHeight="1">
      <c r="A90" s="6" t="s">
        <v>209</v>
      </c>
      <c r="B90" s="6" t="s">
        <v>210</v>
      </c>
      <c r="C90" s="6" t="s">
        <v>24</v>
      </c>
    </row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4.43"/>
    <col customWidth="1" min="2" max="2" width="91.14"/>
    <col customWidth="1" min="3" max="3" width="32.0"/>
    <col customWidth="1" min="4" max="26" width="8.71"/>
  </cols>
  <sheetData>
    <row r="1">
      <c r="A1" s="1" t="s">
        <v>211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G2" s="6">
        <f>IFERROR(__xludf.DUMMYFUNCTION("LET(
runCol,$A$1:$A$300,
runRows,FILTER(ROW(runCol),ISNUMBER(SEARCH(""Run "",runCol))),
lastUsed,MAX(FILTER(ROW(runCol),runCol&lt;&gt;"""")),
BYROW(runRows,LAMBDA(r,
  LET(
    k,XMATCH(r,runRows),
    nextRun,IFERROR(INDEX(runRows,k+1),lastUsed+1),
    rng,IND"&amp;"EX($B:$B,r+2):INDEX($B:$B,nextRun-1),
    SUMPRODUCT((rng&lt;&gt;"""")*(LEFT(TRIM(rng),1)&lt;&gt;""-""))
  )
))
)"),5.0)</f>
        <v>5</v>
      </c>
      <c r="I2" s="6">
        <f>IFERROR(__xludf.DUMMYFUNCTION("LET(
runCol,$A$1:$A$300,
runRows,FILTER(ROW(runCol),ISNUMBER(SEARCH(""Run "",runCol))),
lastUsed,MAX(FILTER(ROW(runCol),runCol&lt;&gt;"""")),
x,BYROW(runRows,LAMBDA(r,
  LET(
    k,XMATCH(r,runRows),
    nextRun,IFERROR(INDEX(runRows,k+1),lastUsed+1),
    rng,I"&amp;"NDEX($B:$B,r+2):INDEX($B:$B,nextRun-1),
    SUMPRODUCT((rng&lt;&gt;"""")*(LEFT(TRIM(rng),1)&lt;&gt;""-""))
  )
)),
HSTACK(AVERAGE(x),STDEV.S(x))
)"),4.9)</f>
        <v>4.9</v>
      </c>
      <c r="J2" s="6">
        <f>IFERROR(__xludf.DUMMYFUNCTION("""COMPUTED_VALUE"""),1.286683937707919)</f>
        <v>1.286683938</v>
      </c>
      <c r="O2" s="6">
        <f>IFERROR(__xludf.DUMMYFUNCTION("LET(
expected,{
""Business Stakeholder"";
""Business Analyst"";
""Domain Expert"";
""Data Scientist"";
""Data Engineer"";
""Data Steward"";
""Scientist"";
""ML Engineer / Developer"";
""Solution Architect"";
""Software Engineer"";
""Software Developer"";
"&amp;"""Application Developer"";
""DevOps Engineer"";
""MLOps Engineer"";
""Operations Engineer"";
""IT Operations / Professional""
},
norm,LAMBDA(t,LOWER(TRIM(SUBSTITUTE(SUBSTITUTE(SUBSTITUTE(SUBSTITUTE(SUBSTITUTE(SUBSTITUTE(SUBSTITUTE(t,CHAR(10),"",""),"";"","&amp;""",""),""|"","",""),""•"","",""),"" / "",""/""),"" /"",""/""),""/ "",""/"")))),
expNorm,MAP(expected,norm),
runCol,$A$1:$A$300,
runRows,FILTER(ROW(runCol),ISNUMBER(SEARCH(""Run "",runCol))),
lastUsed,MAX(FILTER(ROW(runCol),runCol&lt;&gt;"""")),
BYROW(runRows,LA"&amp;"MBDA(r,
  LET(
    k,XMATCH(r,runRows),
    nextRun,IFERROR(INDEX(runRows,k+1),lastUsed+1),
    rng,INDEX($B:$B,r+2):INDEX($B:$B,nextRun-1),
    txt,"","" &amp; norm(TEXTJOIN("","",TRUE,rng)) &amp; "","",
    occ,MAP(expNorm,LAMBDA(a,(LEN(txt)-LEN(SUBSTITUTE(txt,"&amp;""",""&amp;a&amp;"","","""")))/LEN("",""&amp;a&amp;"",""))),
    SUM(MAP(occ,LAMBDA(n,MAX(n-1,0))))
  )
))
)"),0.0)</f>
        <v>0</v>
      </c>
      <c r="P2" s="6">
        <f>IFERROR(__xludf.DUMMYFUNCTION("LET(
expected,{
""Business Stakeholder"";
""Business Analyst"";
""Domain Expert"";
""Data Scientist"";
""Data Engineer"";
""Data Steward"";
""Scientist"";
""ML Engineer / Developer"";
""Solution Architect"";
""Software Engineer"";
""Software Developer"";
"&amp;"""Application Developer"";
""DevOps Engineer"";
""MLOps Engineer"";
""Operations Engineer"";
""IT Operations / Professional""
},
norm,LAMBDA(t,LOWER(TRIM(SUBSTITUTE(SUBSTITUTE(SUBSTITUTE(SUBSTITUTE(SUBSTITUTE(SUBSTITUTE(SUBSTITUTE(t,CHAR(10),"",""),"";"","&amp;""",""),""|"","",""),""•"","",""),"" / "",""/""),"" /"",""/""),""/ "",""/"")))),
expNorm,MAP(expected,norm),
runCol,$A$1:$A$300,
runRows,FILTER(ROW(runCol),ISNUMBER(SEARCH(""Run "",runCol))),
lastUsed,MAX(FILTER(ROW(runCol),runCol&lt;&gt;"""")),
x,BYROW(runRows,"&amp;"LAMBDA(r,
  LET(
    k,XMATCH(r,runRows),
    nextRun,IFERROR(INDEX(runRows,k+1),lastUsed+1),
    rng,INDEX($B:$B,r+2):INDEX($B:$B,nextRun-1),
    txt,"","" &amp; norm(TEXTJOIN("","",TRUE,rng)) &amp; "","",
    occ,MAP(expNorm,LAMBDA(a,(LEN(txt)-LEN(SUBSTITUTE(tx"&amp;"t,"",""&amp;a&amp;"","","""")))/LEN("",""&amp;a&amp;"",""))),
    SUM(MAP(occ,LAMBDA(n,MAX(n-1,0))))
  )
)),
HSTACK(AVERAGE(x),STDEV.S(x))
)"),0.1)</f>
        <v>0.1</v>
      </c>
      <c r="Q2" s="6">
        <f>IFERROR(__xludf.DUMMYFUNCTION("""COMPUTED_VALUE"""),0.31622776601683794)</f>
        <v>0.316227766</v>
      </c>
    </row>
    <row r="3">
      <c r="A3" s="7" t="s">
        <v>1</v>
      </c>
      <c r="G3" s="6">
        <f>IFERROR(__xludf.DUMMYFUNCTION("""COMPUTED_VALUE"""),4.0)</f>
        <v>4</v>
      </c>
      <c r="O3" s="6">
        <f>IFERROR(__xludf.DUMMYFUNCTION("""COMPUTED_VALUE"""),0.0)</f>
        <v>0</v>
      </c>
    </row>
    <row r="4">
      <c r="A4" s="6" t="s">
        <v>2</v>
      </c>
      <c r="B4" s="6" t="s">
        <v>3</v>
      </c>
      <c r="C4" s="6" t="s">
        <v>4</v>
      </c>
      <c r="G4" s="6">
        <f>IFERROR(__xludf.DUMMYFUNCTION("""COMPUTED_VALUE"""),4.0)</f>
        <v>4</v>
      </c>
      <c r="O4" s="6">
        <f>IFERROR(__xludf.DUMMYFUNCTION("""COMPUTED_VALUE"""),0.0)</f>
        <v>0</v>
      </c>
    </row>
    <row r="5">
      <c r="A5" s="6" t="s">
        <v>212</v>
      </c>
      <c r="B5" s="6" t="s">
        <v>6</v>
      </c>
      <c r="C5" s="6" t="s">
        <v>7</v>
      </c>
      <c r="G5" s="6">
        <f>IFERROR(__xludf.DUMMYFUNCTION("""COMPUTED_VALUE"""),4.0)</f>
        <v>4</v>
      </c>
      <c r="O5" s="6">
        <f>IFERROR(__xludf.DUMMYFUNCTION("""COMPUTED_VALUE"""),0.0)</f>
        <v>0</v>
      </c>
    </row>
    <row r="6">
      <c r="A6" s="6" t="s">
        <v>213</v>
      </c>
      <c r="B6" s="6" t="s">
        <v>214</v>
      </c>
      <c r="C6" s="6" t="s">
        <v>35</v>
      </c>
      <c r="G6" s="6">
        <f>IFERROR(__xludf.DUMMYFUNCTION("""COMPUTED_VALUE"""),4.0)</f>
        <v>4</v>
      </c>
      <c r="O6" s="6">
        <f>IFERROR(__xludf.DUMMYFUNCTION("""COMPUTED_VALUE"""),0.0)</f>
        <v>0</v>
      </c>
    </row>
    <row r="7">
      <c r="A7" s="6" t="s">
        <v>215</v>
      </c>
      <c r="B7" s="6" t="s">
        <v>216</v>
      </c>
      <c r="C7" s="6" t="s">
        <v>18</v>
      </c>
      <c r="G7" s="6">
        <f>IFERROR(__xludf.DUMMYFUNCTION("""COMPUTED_VALUE"""),4.0)</f>
        <v>4</v>
      </c>
      <c r="O7" s="6">
        <f>IFERROR(__xludf.DUMMYFUNCTION("""COMPUTED_VALUE"""),0.0)</f>
        <v>0</v>
      </c>
    </row>
    <row r="8">
      <c r="A8" s="6" t="s">
        <v>217</v>
      </c>
      <c r="B8" s="6" t="s">
        <v>23</v>
      </c>
      <c r="C8" s="6" t="s">
        <v>24</v>
      </c>
      <c r="G8" s="6">
        <f>IFERROR(__xludf.DUMMYFUNCTION("""COMPUTED_VALUE"""),4.0)</f>
        <v>4</v>
      </c>
      <c r="O8" s="6">
        <f>IFERROR(__xludf.DUMMYFUNCTION("""COMPUTED_VALUE"""),0.0)</f>
        <v>0</v>
      </c>
    </row>
    <row r="9">
      <c r="A9" s="6" t="s">
        <v>87</v>
      </c>
      <c r="B9" s="6" t="s">
        <v>218</v>
      </c>
      <c r="C9" s="6" t="s">
        <v>10</v>
      </c>
      <c r="G9" s="6">
        <f>IFERROR(__xludf.DUMMYFUNCTION("""COMPUTED_VALUE"""),7.0)</f>
        <v>7</v>
      </c>
      <c r="O9" s="6">
        <f>IFERROR(__xludf.DUMMYFUNCTION("""COMPUTED_VALUE"""),0.0)</f>
        <v>0</v>
      </c>
    </row>
    <row r="10">
      <c r="G10" s="6">
        <f>IFERROR(__xludf.DUMMYFUNCTION("""COMPUTED_VALUE"""),6.0)</f>
        <v>6</v>
      </c>
      <c r="O10" s="6">
        <f>IFERROR(__xludf.DUMMYFUNCTION("""COMPUTED_VALUE"""),1.0)</f>
        <v>1</v>
      </c>
    </row>
    <row r="11">
      <c r="A11" s="7" t="s">
        <v>25</v>
      </c>
      <c r="G11" s="6">
        <f>IFERROR(__xludf.DUMMYFUNCTION("""COMPUTED_VALUE"""),7.0)</f>
        <v>7</v>
      </c>
      <c r="O11" s="6">
        <f>IFERROR(__xludf.DUMMYFUNCTION("""COMPUTED_VALUE"""),0.0)</f>
        <v>0</v>
      </c>
    </row>
    <row r="12">
      <c r="A12" s="6" t="s">
        <v>2</v>
      </c>
      <c r="B12" s="6" t="s">
        <v>3</v>
      </c>
      <c r="C12" s="6" t="s">
        <v>4</v>
      </c>
    </row>
    <row r="13">
      <c r="A13" s="6" t="s">
        <v>212</v>
      </c>
      <c r="B13" s="6" t="s">
        <v>30</v>
      </c>
      <c r="C13" s="6" t="s">
        <v>7</v>
      </c>
    </row>
    <row r="14">
      <c r="A14" s="6" t="s">
        <v>213</v>
      </c>
      <c r="B14" s="6" t="s">
        <v>214</v>
      </c>
      <c r="C14" s="6" t="s">
        <v>35</v>
      </c>
    </row>
    <row r="15">
      <c r="A15" s="6" t="s">
        <v>215</v>
      </c>
      <c r="B15" s="6" t="s">
        <v>219</v>
      </c>
      <c r="C15" s="6" t="s">
        <v>18</v>
      </c>
    </row>
    <row r="16">
      <c r="A16" s="6" t="s">
        <v>217</v>
      </c>
      <c r="B16" s="6" t="s">
        <v>23</v>
      </c>
      <c r="C16" s="6" t="s">
        <v>24</v>
      </c>
    </row>
    <row r="18">
      <c r="A18" s="7" t="s">
        <v>38</v>
      </c>
    </row>
    <row r="19">
      <c r="A19" s="6" t="s">
        <v>2</v>
      </c>
      <c r="B19" s="6" t="s">
        <v>3</v>
      </c>
      <c r="C19" s="6" t="s">
        <v>4</v>
      </c>
    </row>
    <row r="20">
      <c r="A20" s="6" t="s">
        <v>212</v>
      </c>
      <c r="B20" s="6" t="s">
        <v>30</v>
      </c>
      <c r="C20" s="6" t="s">
        <v>7</v>
      </c>
    </row>
    <row r="21" ht="15.75" customHeight="1">
      <c r="A21" s="6" t="s">
        <v>213</v>
      </c>
      <c r="B21" s="6" t="s">
        <v>214</v>
      </c>
      <c r="C21" s="6" t="s">
        <v>35</v>
      </c>
    </row>
    <row r="22" ht="15.75" customHeight="1">
      <c r="A22" s="6" t="s">
        <v>215</v>
      </c>
      <c r="B22" s="6" t="s">
        <v>219</v>
      </c>
      <c r="C22" s="6" t="s">
        <v>18</v>
      </c>
    </row>
    <row r="23" ht="15.75" customHeight="1">
      <c r="A23" s="6" t="s">
        <v>217</v>
      </c>
      <c r="B23" s="6" t="s">
        <v>23</v>
      </c>
      <c r="C23" s="6" t="s">
        <v>24</v>
      </c>
    </row>
    <row r="24" ht="15.75" customHeight="1"/>
    <row r="25" ht="15.75" customHeight="1">
      <c r="A25" s="7" t="s">
        <v>55</v>
      </c>
    </row>
    <row r="26" ht="15.75" customHeight="1">
      <c r="A26" s="6" t="s">
        <v>2</v>
      </c>
      <c r="B26" s="6" t="s">
        <v>3</v>
      </c>
      <c r="C26" s="6" t="s">
        <v>4</v>
      </c>
    </row>
    <row r="27" ht="15.75" customHeight="1">
      <c r="A27" s="6" t="s">
        <v>212</v>
      </c>
      <c r="B27" s="6" t="s">
        <v>30</v>
      </c>
      <c r="C27" s="6" t="s">
        <v>7</v>
      </c>
    </row>
    <row r="28" ht="15.75" customHeight="1">
      <c r="A28" s="6" t="s">
        <v>213</v>
      </c>
      <c r="B28" s="6" t="s">
        <v>214</v>
      </c>
      <c r="C28" s="6" t="s">
        <v>35</v>
      </c>
    </row>
    <row r="29" ht="15.75" customHeight="1">
      <c r="A29" s="6" t="s">
        <v>215</v>
      </c>
      <c r="B29" s="6" t="s">
        <v>219</v>
      </c>
      <c r="C29" s="6" t="s">
        <v>18</v>
      </c>
    </row>
    <row r="30" ht="15.75" customHeight="1">
      <c r="A30" s="6" t="s">
        <v>217</v>
      </c>
      <c r="B30" s="6" t="s">
        <v>23</v>
      </c>
      <c r="C30" s="6" t="s">
        <v>24</v>
      </c>
    </row>
    <row r="31" ht="15.75" customHeight="1"/>
    <row r="32" ht="15.75" customHeight="1">
      <c r="A32" s="7" t="s">
        <v>70</v>
      </c>
    </row>
    <row r="33" ht="15.75" customHeight="1">
      <c r="A33" s="6" t="s">
        <v>2</v>
      </c>
      <c r="B33" s="6" t="s">
        <v>3</v>
      </c>
      <c r="C33" s="6" t="s">
        <v>4</v>
      </c>
    </row>
    <row r="34" ht="15.75" customHeight="1">
      <c r="A34" s="6" t="s">
        <v>212</v>
      </c>
      <c r="B34" s="6" t="s">
        <v>30</v>
      </c>
      <c r="C34" s="6" t="s">
        <v>7</v>
      </c>
    </row>
    <row r="35" ht="15.75" customHeight="1">
      <c r="A35" s="6" t="s">
        <v>213</v>
      </c>
      <c r="B35" s="6" t="s">
        <v>214</v>
      </c>
      <c r="C35" s="6" t="s">
        <v>35</v>
      </c>
    </row>
    <row r="36" ht="15.75" customHeight="1">
      <c r="A36" s="6" t="s">
        <v>215</v>
      </c>
      <c r="B36" s="6" t="s">
        <v>219</v>
      </c>
      <c r="C36" s="6" t="s">
        <v>18</v>
      </c>
    </row>
    <row r="37" ht="15.75" customHeight="1">
      <c r="A37" s="6" t="s">
        <v>217</v>
      </c>
      <c r="B37" s="6" t="s">
        <v>23</v>
      </c>
      <c r="C37" s="6" t="s">
        <v>24</v>
      </c>
    </row>
    <row r="38" ht="15.75" customHeight="1"/>
    <row r="39" ht="17.25" customHeight="1">
      <c r="A39" s="7" t="s">
        <v>77</v>
      </c>
    </row>
    <row r="40" ht="15.75" customHeight="1">
      <c r="A40" s="6" t="s">
        <v>2</v>
      </c>
      <c r="B40" s="6" t="s">
        <v>3</v>
      </c>
      <c r="C40" s="6" t="s">
        <v>4</v>
      </c>
    </row>
    <row r="41" ht="15.75" customHeight="1">
      <c r="A41" s="6" t="s">
        <v>212</v>
      </c>
      <c r="B41" s="6" t="s">
        <v>30</v>
      </c>
      <c r="C41" s="6" t="s">
        <v>7</v>
      </c>
    </row>
    <row r="42" ht="15.75" customHeight="1">
      <c r="A42" s="6" t="s">
        <v>213</v>
      </c>
      <c r="B42" s="6" t="s">
        <v>214</v>
      </c>
      <c r="C42" s="6" t="s">
        <v>35</v>
      </c>
    </row>
    <row r="43" ht="15.75" customHeight="1">
      <c r="A43" s="6" t="s">
        <v>215</v>
      </c>
      <c r="B43" s="6" t="s">
        <v>219</v>
      </c>
      <c r="C43" s="6" t="s">
        <v>18</v>
      </c>
    </row>
    <row r="44" ht="15.75" customHeight="1">
      <c r="A44" s="6" t="s">
        <v>217</v>
      </c>
      <c r="B44" s="6" t="s">
        <v>23</v>
      </c>
      <c r="C44" s="6" t="s">
        <v>24</v>
      </c>
    </row>
    <row r="45" ht="15.75" customHeight="1"/>
    <row r="46" ht="15.75" customHeight="1">
      <c r="A46" s="7" t="s">
        <v>84</v>
      </c>
    </row>
    <row r="47" ht="15.75" customHeight="1">
      <c r="A47" s="6" t="s">
        <v>2</v>
      </c>
      <c r="B47" s="6" t="s">
        <v>3</v>
      </c>
      <c r="C47" s="6" t="s">
        <v>4</v>
      </c>
    </row>
    <row r="48" ht="15.75" customHeight="1">
      <c r="A48" s="6" t="s">
        <v>212</v>
      </c>
      <c r="B48" s="6" t="s">
        <v>30</v>
      </c>
      <c r="C48" s="6" t="s">
        <v>7</v>
      </c>
    </row>
    <row r="49" ht="15.75" customHeight="1">
      <c r="A49" s="6" t="s">
        <v>213</v>
      </c>
      <c r="B49" s="6" t="s">
        <v>214</v>
      </c>
      <c r="C49" s="6" t="s">
        <v>35</v>
      </c>
    </row>
    <row r="50" ht="15.75" customHeight="1">
      <c r="A50" s="6" t="s">
        <v>215</v>
      </c>
      <c r="B50" s="6" t="s">
        <v>219</v>
      </c>
      <c r="C50" s="6" t="s">
        <v>18</v>
      </c>
    </row>
    <row r="51" ht="15.75" customHeight="1">
      <c r="A51" s="6" t="s">
        <v>217</v>
      </c>
      <c r="B51" s="6" t="s">
        <v>23</v>
      </c>
      <c r="C51" s="6" t="s">
        <v>24</v>
      </c>
    </row>
    <row r="52" ht="15.75" customHeight="1"/>
    <row r="53" ht="16.5" customHeight="1">
      <c r="A53" s="7" t="s">
        <v>92</v>
      </c>
    </row>
    <row r="54" ht="15.75" customHeight="1">
      <c r="A54" s="6" t="s">
        <v>2</v>
      </c>
      <c r="B54" s="6" t="s">
        <v>3</v>
      </c>
      <c r="C54" s="6" t="s">
        <v>4</v>
      </c>
    </row>
    <row r="55" ht="15.75" customHeight="1">
      <c r="A55" s="6" t="s">
        <v>29</v>
      </c>
      <c r="B55" s="6" t="s">
        <v>30</v>
      </c>
      <c r="C55" s="6" t="s">
        <v>7</v>
      </c>
    </row>
    <row r="56" ht="15.75" customHeight="1">
      <c r="A56" s="6" t="s">
        <v>220</v>
      </c>
      <c r="B56" s="6" t="s">
        <v>218</v>
      </c>
      <c r="C56" s="6" t="s">
        <v>12</v>
      </c>
    </row>
    <row r="57" ht="15.75" customHeight="1">
      <c r="A57" s="6" t="s">
        <v>221</v>
      </c>
      <c r="B57" s="6" t="s">
        <v>90</v>
      </c>
      <c r="C57" s="6" t="s">
        <v>15</v>
      </c>
    </row>
    <row r="58" ht="15.75" customHeight="1">
      <c r="A58" s="6" t="s">
        <v>222</v>
      </c>
      <c r="B58" s="6" t="s">
        <v>223</v>
      </c>
      <c r="C58" s="6" t="s">
        <v>224</v>
      </c>
    </row>
    <row r="59" ht="15.75" customHeight="1">
      <c r="A59" s="6" t="s">
        <v>225</v>
      </c>
      <c r="B59" s="6" t="s">
        <v>226</v>
      </c>
      <c r="C59" s="6" t="s">
        <v>18</v>
      </c>
    </row>
    <row r="60" ht="15.75" customHeight="1">
      <c r="A60" s="6" t="s">
        <v>63</v>
      </c>
      <c r="B60" s="6" t="s">
        <v>20</v>
      </c>
      <c r="C60" s="6" t="s">
        <v>21</v>
      </c>
    </row>
    <row r="61" ht="15.75" customHeight="1">
      <c r="A61" s="6" t="s">
        <v>136</v>
      </c>
      <c r="B61" s="6" t="s">
        <v>23</v>
      </c>
      <c r="C61" s="6" t="s">
        <v>24</v>
      </c>
    </row>
    <row r="62" ht="15.75" customHeight="1"/>
    <row r="63" ht="15.75" customHeight="1">
      <c r="A63" s="7" t="s">
        <v>93</v>
      </c>
    </row>
    <row r="64" ht="15.75" customHeight="1">
      <c r="A64" s="6" t="s">
        <v>2</v>
      </c>
      <c r="B64" s="6" t="s">
        <v>3</v>
      </c>
      <c r="C64" s="6" t="s">
        <v>4</v>
      </c>
    </row>
    <row r="65" ht="15.75" customHeight="1">
      <c r="A65" s="6" t="s">
        <v>29</v>
      </c>
      <c r="B65" s="6" t="s">
        <v>30</v>
      </c>
      <c r="C65" s="6" t="s">
        <v>7</v>
      </c>
    </row>
    <row r="66" ht="15.75" customHeight="1">
      <c r="A66" s="6" t="s">
        <v>221</v>
      </c>
      <c r="B66" s="6" t="s">
        <v>90</v>
      </c>
      <c r="C66" s="6" t="s">
        <v>15</v>
      </c>
    </row>
    <row r="67" ht="15.75" customHeight="1">
      <c r="A67" s="6" t="s">
        <v>220</v>
      </c>
      <c r="B67" s="6" t="s">
        <v>227</v>
      </c>
      <c r="C67" s="6" t="s">
        <v>12</v>
      </c>
    </row>
    <row r="68" ht="15.75" customHeight="1">
      <c r="A68" s="6" t="s">
        <v>63</v>
      </c>
      <c r="B68" s="6" t="s">
        <v>20</v>
      </c>
      <c r="C68" s="6" t="s">
        <v>21</v>
      </c>
    </row>
    <row r="69" ht="15.75" customHeight="1">
      <c r="A69" s="6" t="s">
        <v>225</v>
      </c>
      <c r="B69" s="6" t="s">
        <v>228</v>
      </c>
      <c r="C69" s="6" t="s">
        <v>18</v>
      </c>
    </row>
    <row r="70" ht="15.75" customHeight="1">
      <c r="A70" s="6" t="s">
        <v>136</v>
      </c>
      <c r="B70" s="6" t="s">
        <v>23</v>
      </c>
      <c r="C70" s="6" t="s">
        <v>24</v>
      </c>
    </row>
    <row r="71" ht="15.75" customHeight="1"/>
    <row r="72" ht="15.75" customHeight="1">
      <c r="A72" s="7" t="s">
        <v>101</v>
      </c>
    </row>
    <row r="73" ht="15.75" customHeight="1">
      <c r="A73" s="6" t="s">
        <v>2</v>
      </c>
      <c r="B73" s="6" t="s">
        <v>3</v>
      </c>
      <c r="C73" s="6" t="s">
        <v>4</v>
      </c>
    </row>
    <row r="74" ht="15.75" customHeight="1">
      <c r="A74" s="6" t="s">
        <v>229</v>
      </c>
      <c r="B74" s="6" t="s">
        <v>30</v>
      </c>
      <c r="C74" s="6" t="s">
        <v>7</v>
      </c>
    </row>
    <row r="75" ht="15.75" customHeight="1">
      <c r="A75" s="6" t="s">
        <v>220</v>
      </c>
      <c r="B75" s="6" t="s">
        <v>230</v>
      </c>
      <c r="C75" s="6" t="s">
        <v>12</v>
      </c>
    </row>
    <row r="76" ht="15.75" customHeight="1">
      <c r="A76" s="6" t="s">
        <v>221</v>
      </c>
      <c r="B76" s="6" t="s">
        <v>90</v>
      </c>
      <c r="C76" s="6" t="s">
        <v>15</v>
      </c>
    </row>
    <row r="77" ht="15.75" customHeight="1">
      <c r="A77" s="6" t="s">
        <v>222</v>
      </c>
      <c r="B77" s="6" t="s">
        <v>223</v>
      </c>
      <c r="C77" s="6" t="s">
        <v>224</v>
      </c>
    </row>
    <row r="78" ht="15.75" customHeight="1">
      <c r="A78" s="6" t="s">
        <v>225</v>
      </c>
      <c r="B78" s="6" t="s">
        <v>226</v>
      </c>
      <c r="C78" s="6" t="s">
        <v>18</v>
      </c>
    </row>
    <row r="79" ht="15.75" customHeight="1">
      <c r="A79" s="6" t="s">
        <v>63</v>
      </c>
      <c r="B79" s="6" t="s">
        <v>20</v>
      </c>
      <c r="C79" s="6" t="s">
        <v>21</v>
      </c>
    </row>
    <row r="80" ht="15.75" customHeight="1">
      <c r="A80" s="6" t="s">
        <v>217</v>
      </c>
      <c r="B80" s="6" t="s">
        <v>23</v>
      </c>
      <c r="C80" s="6" t="s">
        <v>24</v>
      </c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8.57"/>
    <col customWidth="1" min="2" max="2" width="114.0"/>
    <col customWidth="1" min="3" max="3" width="45.86"/>
    <col customWidth="1" min="4" max="26" width="8.71"/>
  </cols>
  <sheetData>
    <row r="1">
      <c r="A1" s="1" t="s">
        <v>231</v>
      </c>
      <c r="B1" s="2"/>
      <c r="C1" s="2"/>
      <c r="D1" s="2"/>
      <c r="E1" s="2"/>
      <c r="F1" s="3"/>
      <c r="G1" s="4"/>
      <c r="H1" s="4">
        <f>IFERROR(__xludf.DUMMYFUNCTION("LET(
runCol,$A$1:$A$300,
runRows,FILTER(ROW(runCol),ISNUMBER(SEARCH(""Run "",runCol))),
lastUsed,MAX(FILTER(ROW(runCol),runCol&lt;&gt;"""")),
BYROW(runRows,LAMBDA(r,
  LET(
    k,XMATCH(r,runRows),
    nextRun,IFERROR(INDEX(runRows,k+1),lastUsed+1),
    rng,IND"&amp;"EX($B:$B,r+2):INDEX($B:$B,nextRun-1),
    SUMPRODUCT((rng&lt;&gt;"""")*(LEFT(TRIM(rng),1)&lt;&gt;""-""))
  )
))
)"),5.0)</f>
        <v>5</v>
      </c>
      <c r="I1" s="4"/>
      <c r="J1" s="4">
        <f>IFERROR(__xludf.DUMMYFUNCTION("LET(
runCol,$A$1:$A$300,
runRows,FILTER(ROW(runCol),ISNUMBER(SEARCH(""Run "",runCol))),
lastUsed,MAX(FILTER(ROW(runCol),runCol&lt;&gt;"""")),
x,BYROW(runRows,LAMBDA(r,
  LET(
    k,XMATCH(r,runRows),
    nextRun,IFERROR(INDEX(runRows,k+1),lastUsed+1),
    rng,I"&amp;"NDEX($B:$B,r+2):INDEX($B:$B,nextRun-1),
    SUMPRODUCT((rng&lt;&gt;"""")*(LEFT(TRIM(rng),1)&lt;&gt;""-""))
  )
)),
HSTACK(AVERAGE(x),STDEV.S(x))
)"),5.4)</f>
        <v>5.4</v>
      </c>
      <c r="K1" s="4">
        <f>IFERROR(__xludf.DUMMYFUNCTION("""COMPUTED_VALUE"""),1.07496769977314)</f>
        <v>1.0749677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H2" s="6">
        <f>IFERROR(__xludf.DUMMYFUNCTION("""COMPUTED_VALUE"""),4.0)</f>
        <v>4</v>
      </c>
      <c r="M2" s="6">
        <f>IFERROR(__xludf.DUMMYFUNCTION("LET(
expected,{
""Business Stakeholder"";
""Business Analyst"";
""Domain Expert"";
""Data Scientist"";
""Data Engineer"";
""Data Steward"";
""Scientist"";
""ML Engineer / Developer"";
""Solution Architect"";
""Software Engineer"";
""Software Developer"";
"&amp;"""Application Developer"";
""DevOps Engineer"";
""MLOps Engineer"";
""Operations Engineer"";
""IT Operations / Professional""
},
norm,LAMBDA(t,LOWER(TRIM(SUBSTITUTE(SUBSTITUTE(SUBSTITUTE(SUBSTITUTE(SUBSTITUTE(SUBSTITUTE(SUBSTITUTE(t,CHAR(10),"",""),"";"","&amp;""",""),""|"","",""),""•"","",""),"" / "",""/""),"" /"",""/""),""/ "",""/"")))),
expNorm,MAP(expected,norm),
runCol,$A$1:$A$300,
runRows,FILTER(ROW(runCol),ISNUMBER(SEARCH(""Run "",runCol))),
lastUsed,MAX(FILTER(ROW(runCol),runCol&lt;&gt;"""")),
BYROW(runRows,LA"&amp;"MBDA(r,
  LET(
    k,XMATCH(r,runRows),
    nextRun,IFERROR(INDEX(runRows,k+1),lastUsed+1),
    rng,INDEX($B:$B,r+2):INDEX($B:$B,nextRun-1),
    txt,"","" &amp; norm(TEXTJOIN("","",TRUE,rng)) &amp; "","",
    occ,MAP(expNorm,LAMBDA(a,(LEN(txt)-LEN(SUBSTITUTE(txt,"&amp;""",""&amp;a&amp;"","","""")))/LEN("",""&amp;a&amp;"",""))),
    SUM(MAP(occ,LAMBDA(n,MAX(n-1,0))))
  )
))
)"),0.0)</f>
        <v>0</v>
      </c>
    </row>
    <row r="3">
      <c r="A3" s="7" t="s">
        <v>1</v>
      </c>
      <c r="H3" s="6">
        <f>IFERROR(__xludf.DUMMYFUNCTION("""COMPUTED_VALUE"""),4.0)</f>
        <v>4</v>
      </c>
      <c r="M3" s="6">
        <f>IFERROR(__xludf.DUMMYFUNCTION("""COMPUTED_VALUE"""),0.0)</f>
        <v>0</v>
      </c>
    </row>
    <row r="4">
      <c r="A4" s="6" t="s">
        <v>2</v>
      </c>
      <c r="B4" s="6" t="s">
        <v>3</v>
      </c>
      <c r="C4" s="6" t="s">
        <v>4</v>
      </c>
      <c r="H4" s="6">
        <f>IFERROR(__xludf.DUMMYFUNCTION("""COMPUTED_VALUE"""),5.0)</f>
        <v>5</v>
      </c>
      <c r="M4" s="6">
        <f>IFERROR(__xludf.DUMMYFUNCTION("""COMPUTED_VALUE"""),0.0)</f>
        <v>0</v>
      </c>
    </row>
    <row r="5">
      <c r="A5" s="6" t="s">
        <v>232</v>
      </c>
      <c r="B5" s="6" t="s">
        <v>30</v>
      </c>
      <c r="C5" s="6" t="s">
        <v>7</v>
      </c>
      <c r="H5" s="6">
        <f>IFERROR(__xludf.DUMMYFUNCTION("""COMPUTED_VALUE"""),5.0)</f>
        <v>5</v>
      </c>
      <c r="M5" s="6">
        <f>IFERROR(__xludf.DUMMYFUNCTION("""COMPUTED_VALUE"""),0.0)</f>
        <v>0</v>
      </c>
    </row>
    <row r="6">
      <c r="A6" s="6" t="s">
        <v>220</v>
      </c>
      <c r="B6" s="6" t="s">
        <v>233</v>
      </c>
      <c r="C6" s="6" t="s">
        <v>12</v>
      </c>
      <c r="H6" s="6">
        <f>IFERROR(__xludf.DUMMYFUNCTION("""COMPUTED_VALUE"""),6.0)</f>
        <v>6</v>
      </c>
      <c r="M6" s="6">
        <f>IFERROR(__xludf.DUMMYFUNCTION("""COMPUTED_VALUE"""),1.0)</f>
        <v>1</v>
      </c>
    </row>
    <row r="7">
      <c r="A7" s="6" t="s">
        <v>221</v>
      </c>
      <c r="B7" s="6" t="s">
        <v>214</v>
      </c>
      <c r="C7" s="6" t="s">
        <v>35</v>
      </c>
      <c r="H7" s="6">
        <f>IFERROR(__xludf.DUMMYFUNCTION("""COMPUTED_VALUE"""),6.0)</f>
        <v>6</v>
      </c>
      <c r="M7" s="6">
        <f>IFERROR(__xludf.DUMMYFUNCTION("""COMPUTED_VALUE"""),0.0)</f>
        <v>0</v>
      </c>
    </row>
    <row r="8">
      <c r="A8" s="6" t="s">
        <v>63</v>
      </c>
      <c r="B8" s="6" t="s">
        <v>20</v>
      </c>
      <c r="C8" s="6" t="s">
        <v>21</v>
      </c>
      <c r="H8" s="6">
        <f>IFERROR(__xludf.DUMMYFUNCTION("""COMPUTED_VALUE"""),7.0)</f>
        <v>7</v>
      </c>
      <c r="M8" s="6">
        <f>IFERROR(__xludf.DUMMYFUNCTION("""COMPUTED_VALUE"""),0.0)</f>
        <v>0</v>
      </c>
    </row>
    <row r="9">
      <c r="A9" s="6" t="s">
        <v>234</v>
      </c>
      <c r="B9" s="6" t="s">
        <v>23</v>
      </c>
      <c r="C9" s="6" t="s">
        <v>24</v>
      </c>
      <c r="H9" s="6">
        <f>IFERROR(__xludf.DUMMYFUNCTION("""COMPUTED_VALUE"""),7.0)</f>
        <v>7</v>
      </c>
      <c r="M9" s="6">
        <f>IFERROR(__xludf.DUMMYFUNCTION("""COMPUTED_VALUE"""),0.0)</f>
        <v>0</v>
      </c>
    </row>
    <row r="10">
      <c r="H10" s="6">
        <f>IFERROR(__xludf.DUMMYFUNCTION("""COMPUTED_VALUE"""),5.0)</f>
        <v>5</v>
      </c>
      <c r="M10" s="6">
        <f>IFERROR(__xludf.DUMMYFUNCTION("""COMPUTED_VALUE"""),0.0)</f>
        <v>0</v>
      </c>
    </row>
    <row r="11">
      <c r="A11" s="7" t="s">
        <v>25</v>
      </c>
      <c r="M11" s="6">
        <f>IFERROR(__xludf.DUMMYFUNCTION("""COMPUTED_VALUE"""),0.0)</f>
        <v>0</v>
      </c>
    </row>
    <row r="12">
      <c r="A12" s="6" t="s">
        <v>2</v>
      </c>
      <c r="B12" s="6" t="s">
        <v>3</v>
      </c>
      <c r="C12" s="6" t="s">
        <v>4</v>
      </c>
    </row>
    <row r="13">
      <c r="A13" s="6" t="s">
        <v>212</v>
      </c>
      <c r="B13" s="6" t="s">
        <v>30</v>
      </c>
      <c r="C13" s="6" t="s">
        <v>7</v>
      </c>
    </row>
    <row r="14">
      <c r="A14" s="6" t="s">
        <v>213</v>
      </c>
      <c r="B14" s="6" t="s">
        <v>214</v>
      </c>
      <c r="C14" s="6" t="s">
        <v>35</v>
      </c>
    </row>
    <row r="15">
      <c r="A15" s="6" t="s">
        <v>235</v>
      </c>
      <c r="B15" s="6" t="s">
        <v>219</v>
      </c>
      <c r="C15" s="6" t="s">
        <v>18</v>
      </c>
    </row>
    <row r="16">
      <c r="A16" s="6" t="s">
        <v>217</v>
      </c>
      <c r="B16" s="6" t="s">
        <v>23</v>
      </c>
      <c r="C16" s="6" t="s">
        <v>24</v>
      </c>
    </row>
    <row r="18">
      <c r="A18" s="7" t="s">
        <v>38</v>
      </c>
    </row>
    <row r="19">
      <c r="A19" s="6" t="s">
        <v>2</v>
      </c>
      <c r="B19" s="6" t="s">
        <v>3</v>
      </c>
      <c r="C19" s="6" t="s">
        <v>4</v>
      </c>
    </row>
    <row r="20">
      <c r="A20" s="6" t="s">
        <v>212</v>
      </c>
      <c r="B20" s="6" t="s">
        <v>30</v>
      </c>
      <c r="C20" s="6" t="s">
        <v>7</v>
      </c>
    </row>
    <row r="21" ht="15.75" customHeight="1">
      <c r="A21" s="6" t="s">
        <v>236</v>
      </c>
      <c r="B21" s="6" t="s">
        <v>237</v>
      </c>
      <c r="C21" s="6" t="s">
        <v>35</v>
      </c>
    </row>
    <row r="22" ht="15.75" customHeight="1">
      <c r="A22" s="6" t="s">
        <v>235</v>
      </c>
      <c r="B22" s="6" t="s">
        <v>238</v>
      </c>
      <c r="C22" s="6" t="s">
        <v>12</v>
      </c>
    </row>
    <row r="23" ht="15.75" customHeight="1">
      <c r="A23" s="6" t="s">
        <v>217</v>
      </c>
      <c r="B23" s="6" t="s">
        <v>23</v>
      </c>
      <c r="C23" s="6" t="s">
        <v>24</v>
      </c>
    </row>
    <row r="24" ht="15.75" customHeight="1"/>
    <row r="25" ht="15.75" customHeight="1">
      <c r="A25" s="7" t="s">
        <v>55</v>
      </c>
    </row>
    <row r="26" ht="15.75" customHeight="1">
      <c r="A26" s="6" t="s">
        <v>2</v>
      </c>
      <c r="B26" s="6" t="s">
        <v>3</v>
      </c>
      <c r="C26" s="6" t="s">
        <v>4</v>
      </c>
    </row>
    <row r="27" ht="15.75" customHeight="1">
      <c r="A27" s="6" t="s">
        <v>232</v>
      </c>
      <c r="B27" s="6" t="s">
        <v>239</v>
      </c>
      <c r="C27" s="6" t="s">
        <v>7</v>
      </c>
    </row>
    <row r="28" ht="15.75" customHeight="1">
      <c r="A28" s="6" t="s">
        <v>240</v>
      </c>
      <c r="B28" s="6" t="s">
        <v>241</v>
      </c>
      <c r="C28" s="6" t="s">
        <v>35</v>
      </c>
    </row>
    <row r="29" ht="15.75" customHeight="1">
      <c r="A29" s="6" t="s">
        <v>242</v>
      </c>
      <c r="B29" s="6" t="s">
        <v>226</v>
      </c>
      <c r="C29" s="6" t="s">
        <v>18</v>
      </c>
    </row>
    <row r="30" ht="15.75" customHeight="1">
      <c r="A30" s="6" t="s">
        <v>243</v>
      </c>
      <c r="B30" s="6" t="s">
        <v>20</v>
      </c>
      <c r="C30" s="6" t="s">
        <v>21</v>
      </c>
    </row>
    <row r="31" ht="15.75" customHeight="1">
      <c r="A31" s="6" t="s">
        <v>244</v>
      </c>
      <c r="B31" s="6" t="s">
        <v>23</v>
      </c>
      <c r="C31" s="6" t="s">
        <v>24</v>
      </c>
    </row>
    <row r="32" ht="15.75" customHeight="1"/>
    <row r="33" ht="15.75" customHeight="1">
      <c r="A33" s="7" t="s">
        <v>70</v>
      </c>
    </row>
    <row r="34" ht="15.75" customHeight="1">
      <c r="A34" s="6" t="s">
        <v>2</v>
      </c>
      <c r="B34" s="6" t="s">
        <v>3</v>
      </c>
      <c r="C34" s="6" t="s">
        <v>4</v>
      </c>
    </row>
    <row r="35" ht="15.75" customHeight="1">
      <c r="A35" s="6" t="s">
        <v>245</v>
      </c>
      <c r="B35" s="6" t="s">
        <v>239</v>
      </c>
      <c r="C35" s="6" t="s">
        <v>7</v>
      </c>
    </row>
    <row r="36" ht="15.75" customHeight="1">
      <c r="A36" s="6" t="s">
        <v>221</v>
      </c>
      <c r="B36" s="6" t="s">
        <v>246</v>
      </c>
      <c r="C36" s="6" t="s">
        <v>163</v>
      </c>
    </row>
    <row r="37" ht="15.75" customHeight="1">
      <c r="A37" s="6" t="s">
        <v>247</v>
      </c>
      <c r="B37" s="6" t="s">
        <v>228</v>
      </c>
      <c r="C37" s="6" t="s">
        <v>18</v>
      </c>
    </row>
    <row r="38" ht="15.75" customHeight="1">
      <c r="A38" s="6" t="s">
        <v>248</v>
      </c>
      <c r="B38" s="6" t="s">
        <v>20</v>
      </c>
      <c r="C38" s="6" t="s">
        <v>21</v>
      </c>
    </row>
    <row r="39" ht="15.75" customHeight="1">
      <c r="A39" s="6" t="s">
        <v>249</v>
      </c>
      <c r="B39" s="6" t="s">
        <v>23</v>
      </c>
      <c r="C39" s="6" t="s">
        <v>24</v>
      </c>
    </row>
    <row r="40" ht="15.75" customHeight="1"/>
    <row r="41" ht="15.75" customHeight="1">
      <c r="A41" s="7" t="s">
        <v>77</v>
      </c>
    </row>
    <row r="42" ht="15.75" customHeight="1">
      <c r="A42" s="6" t="s">
        <v>2</v>
      </c>
      <c r="B42" s="6" t="s">
        <v>3</v>
      </c>
      <c r="C42" s="6" t="s">
        <v>4</v>
      </c>
    </row>
    <row r="43" ht="15.75" customHeight="1">
      <c r="A43" s="6" t="s">
        <v>232</v>
      </c>
      <c r="B43" s="6" t="s">
        <v>30</v>
      </c>
      <c r="C43" s="6" t="s">
        <v>7</v>
      </c>
    </row>
    <row r="44" ht="15.75" customHeight="1">
      <c r="A44" s="6" t="s">
        <v>250</v>
      </c>
      <c r="B44" s="6" t="s">
        <v>218</v>
      </c>
      <c r="C44" s="6" t="s">
        <v>12</v>
      </c>
    </row>
    <row r="45" ht="15.75" customHeight="1">
      <c r="A45" s="6" t="s">
        <v>251</v>
      </c>
      <c r="B45" s="6" t="s">
        <v>214</v>
      </c>
      <c r="C45" s="6" t="s">
        <v>15</v>
      </c>
    </row>
    <row r="46" ht="15.75" customHeight="1">
      <c r="A46" s="6" t="s">
        <v>242</v>
      </c>
      <c r="B46" s="6" t="s">
        <v>226</v>
      </c>
      <c r="C46" s="6" t="s">
        <v>18</v>
      </c>
    </row>
    <row r="47" ht="15.75" customHeight="1">
      <c r="A47" s="6" t="s">
        <v>243</v>
      </c>
      <c r="B47" s="6" t="s">
        <v>20</v>
      </c>
      <c r="C47" s="6" t="s">
        <v>21</v>
      </c>
    </row>
    <row r="48" ht="15.75" customHeight="1">
      <c r="A48" s="6" t="s">
        <v>244</v>
      </c>
      <c r="B48" s="6" t="s">
        <v>23</v>
      </c>
      <c r="C48" s="6" t="s">
        <v>24</v>
      </c>
    </row>
    <row r="49" ht="15.75" customHeight="1"/>
    <row r="50" ht="15.75" customHeight="1">
      <c r="A50" s="7" t="s">
        <v>84</v>
      </c>
    </row>
    <row r="51" ht="15.75" customHeight="1">
      <c r="A51" s="6" t="s">
        <v>2</v>
      </c>
      <c r="B51" s="6" t="s">
        <v>3</v>
      </c>
      <c r="C51" s="6" t="s">
        <v>4</v>
      </c>
    </row>
    <row r="52" ht="15.75" customHeight="1">
      <c r="A52" s="6" t="s">
        <v>232</v>
      </c>
      <c r="B52" s="6" t="s">
        <v>30</v>
      </c>
      <c r="C52" s="6" t="s">
        <v>7</v>
      </c>
    </row>
    <row r="53" ht="15.75" customHeight="1">
      <c r="A53" s="6" t="s">
        <v>252</v>
      </c>
      <c r="B53" s="6" t="s">
        <v>75</v>
      </c>
      <c r="C53" s="6" t="s">
        <v>12</v>
      </c>
    </row>
    <row r="54" ht="15.75" customHeight="1">
      <c r="A54" s="6" t="s">
        <v>251</v>
      </c>
      <c r="B54" s="6" t="s">
        <v>253</v>
      </c>
      <c r="C54" s="6" t="s">
        <v>15</v>
      </c>
    </row>
    <row r="55" ht="15.75" customHeight="1">
      <c r="A55" s="6" t="s">
        <v>254</v>
      </c>
      <c r="B55" s="6" t="s">
        <v>20</v>
      </c>
      <c r="C55" s="6" t="s">
        <v>21</v>
      </c>
    </row>
    <row r="56" ht="15.75" customHeight="1">
      <c r="A56" s="6" t="s">
        <v>255</v>
      </c>
      <c r="B56" s="6" t="s">
        <v>256</v>
      </c>
      <c r="C56" s="6" t="s">
        <v>18</v>
      </c>
    </row>
    <row r="57" ht="15.75" customHeight="1">
      <c r="A57" s="6" t="s">
        <v>257</v>
      </c>
      <c r="B57" s="6" t="s">
        <v>23</v>
      </c>
      <c r="C57" s="6" t="s">
        <v>24</v>
      </c>
    </row>
    <row r="58" ht="15.75" customHeight="1"/>
    <row r="59" ht="15.75" customHeight="1">
      <c r="A59" s="7" t="s">
        <v>92</v>
      </c>
    </row>
    <row r="60" ht="15.75" customHeight="1">
      <c r="A60" s="6" t="s">
        <v>2</v>
      </c>
      <c r="B60" s="6" t="s">
        <v>3</v>
      </c>
      <c r="C60" s="6" t="s">
        <v>4</v>
      </c>
    </row>
    <row r="61" ht="15.75" customHeight="1">
      <c r="A61" s="6" t="s">
        <v>258</v>
      </c>
      <c r="B61" s="6" t="s">
        <v>6</v>
      </c>
      <c r="C61" s="6" t="s">
        <v>7</v>
      </c>
    </row>
    <row r="62" ht="15.75" customHeight="1">
      <c r="A62" s="6" t="s">
        <v>87</v>
      </c>
      <c r="B62" s="6" t="s">
        <v>9</v>
      </c>
      <c r="C62" s="6" t="s">
        <v>10</v>
      </c>
    </row>
    <row r="63" ht="15.75" customHeight="1">
      <c r="A63" s="6" t="s">
        <v>251</v>
      </c>
      <c r="B63" s="6" t="s">
        <v>14</v>
      </c>
      <c r="C63" s="6" t="s">
        <v>15</v>
      </c>
    </row>
    <row r="64" ht="15.75" customHeight="1">
      <c r="A64" s="6" t="s">
        <v>259</v>
      </c>
      <c r="B64" s="6" t="s">
        <v>17</v>
      </c>
      <c r="C64" s="6" t="s">
        <v>35</v>
      </c>
    </row>
    <row r="65" ht="15.75" customHeight="1">
      <c r="A65" s="6" t="s">
        <v>260</v>
      </c>
      <c r="B65" s="6" t="s">
        <v>20</v>
      </c>
      <c r="C65" s="6" t="s">
        <v>21</v>
      </c>
    </row>
    <row r="66" ht="15.75" customHeight="1">
      <c r="A66" s="6" t="s">
        <v>257</v>
      </c>
      <c r="B66" s="6" t="s">
        <v>99</v>
      </c>
      <c r="C66" s="6" t="s">
        <v>54</v>
      </c>
    </row>
    <row r="67" ht="15.75" customHeight="1">
      <c r="A67" s="6" t="s">
        <v>261</v>
      </c>
      <c r="B67" s="6" t="s">
        <v>262</v>
      </c>
      <c r="C67" s="6" t="s">
        <v>24</v>
      </c>
    </row>
    <row r="68" ht="15.75" customHeight="1"/>
    <row r="69" ht="15.75" customHeight="1">
      <c r="A69" s="7" t="s">
        <v>93</v>
      </c>
    </row>
    <row r="70" ht="15.75" customHeight="1">
      <c r="A70" s="6" t="s">
        <v>2</v>
      </c>
      <c r="B70" s="6" t="s">
        <v>3</v>
      </c>
      <c r="C70" s="6" t="s">
        <v>4</v>
      </c>
    </row>
    <row r="71" ht="15.75" customHeight="1">
      <c r="A71" s="6" t="s">
        <v>29</v>
      </c>
      <c r="B71" s="6" t="s">
        <v>239</v>
      </c>
      <c r="C71" s="6" t="s">
        <v>7</v>
      </c>
    </row>
    <row r="72" ht="15.75" customHeight="1">
      <c r="A72" s="6" t="s">
        <v>87</v>
      </c>
      <c r="B72" s="6" t="s">
        <v>9</v>
      </c>
      <c r="C72" s="6" t="s">
        <v>10</v>
      </c>
    </row>
    <row r="73" ht="15.75" customHeight="1">
      <c r="A73" s="6" t="s">
        <v>221</v>
      </c>
      <c r="B73" s="6" t="s">
        <v>90</v>
      </c>
      <c r="C73" s="6" t="s">
        <v>15</v>
      </c>
    </row>
    <row r="74" ht="15.75" customHeight="1">
      <c r="A74" s="6" t="s">
        <v>225</v>
      </c>
      <c r="B74" s="6" t="s">
        <v>226</v>
      </c>
      <c r="C74" s="6" t="s">
        <v>18</v>
      </c>
    </row>
    <row r="75" ht="15.75" customHeight="1">
      <c r="A75" s="6" t="s">
        <v>63</v>
      </c>
      <c r="B75" s="6" t="s">
        <v>20</v>
      </c>
      <c r="C75" s="6" t="s">
        <v>21</v>
      </c>
    </row>
    <row r="76" ht="15.75" customHeight="1">
      <c r="A76" s="6" t="s">
        <v>136</v>
      </c>
      <c r="B76" s="6" t="s">
        <v>23</v>
      </c>
      <c r="C76" s="6" t="s">
        <v>24</v>
      </c>
    </row>
    <row r="77" ht="15.75" customHeight="1">
      <c r="A77" s="6" t="s">
        <v>88</v>
      </c>
      <c r="B77" s="6" t="s">
        <v>263</v>
      </c>
      <c r="C77" s="6" t="s">
        <v>12</v>
      </c>
    </row>
    <row r="78" ht="15.75" customHeight="1"/>
    <row r="79" ht="15.75" customHeight="1">
      <c r="A79" s="7" t="s">
        <v>101</v>
      </c>
    </row>
    <row r="80" ht="15.75" customHeight="1">
      <c r="A80" s="6" t="s">
        <v>2</v>
      </c>
      <c r="B80" s="6" t="s">
        <v>3</v>
      </c>
      <c r="C80" s="6" t="s">
        <v>4</v>
      </c>
    </row>
    <row r="81" ht="15.75" customHeight="1">
      <c r="A81" s="6" t="s">
        <v>264</v>
      </c>
      <c r="B81" s="6" t="s">
        <v>239</v>
      </c>
      <c r="C81" s="6" t="s">
        <v>7</v>
      </c>
    </row>
    <row r="82" ht="15.75" customHeight="1">
      <c r="A82" s="6" t="s">
        <v>265</v>
      </c>
      <c r="B82" s="6" t="s">
        <v>266</v>
      </c>
      <c r="C82" s="6" t="s">
        <v>163</v>
      </c>
    </row>
    <row r="83" ht="15.75" customHeight="1">
      <c r="A83" s="6" t="s">
        <v>259</v>
      </c>
      <c r="B83" s="6" t="s">
        <v>34</v>
      </c>
      <c r="C83" s="6" t="s">
        <v>35</v>
      </c>
    </row>
    <row r="84" ht="15.75" customHeight="1">
      <c r="A84" s="6" t="s">
        <v>267</v>
      </c>
      <c r="B84" s="6" t="s">
        <v>167</v>
      </c>
      <c r="C84" s="6" t="s">
        <v>21</v>
      </c>
    </row>
    <row r="85" ht="15.75" customHeight="1">
      <c r="A85" s="6" t="s">
        <v>257</v>
      </c>
      <c r="B85" s="6" t="s">
        <v>23</v>
      </c>
      <c r="C85" s="6" t="s">
        <v>24</v>
      </c>
    </row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4.86"/>
    <col customWidth="1" min="2" max="2" width="94.57"/>
    <col customWidth="1" min="3" max="3" width="28.14"/>
    <col customWidth="1" min="4" max="26" width="8.71"/>
  </cols>
  <sheetData>
    <row r="1">
      <c r="A1" s="1" t="s">
        <v>268</v>
      </c>
      <c r="B1" s="2"/>
      <c r="C1" s="2"/>
      <c r="D1" s="2"/>
      <c r="E1" s="2"/>
      <c r="F1" s="3"/>
      <c r="G1" s="4">
        <f>IFERROR(__xludf.DUMMYFUNCTION("LET(
runCol,$A$1:$A$300,
runRows,FILTER(ROW(runCol),ISNUMBER(SEARCH(""Run "",runCol))),
lastUsed,MAX(FILTER(ROW(runCol),runCol&lt;&gt;"""")),
BYROW(runRows,LAMBDA(r,
  LET(
    k,XMATCH(r,runRows),
    nextRun,IFERROR(INDEX(runRows,k+1),lastUsed+1),
    rng,IND"&amp;"EX($B:$B,r+2):INDEX($B:$B,nextRun-1),
    SUMPRODUCT((rng&lt;&gt;"""")*(LEFT(TRIM(rng),1)&lt;&gt;""-""))
  )
))
)"),6.0)</f>
        <v>6</v>
      </c>
      <c r="H1" s="4"/>
      <c r="I1" s="4">
        <f>IFERROR(__xludf.DUMMYFUNCTION("LET(
runCol,$A$1:$A$300,
runRows,FILTER(ROW(runCol),ISNUMBER(SEARCH(""Run "",runCol))),
lastUsed,MAX(FILTER(ROW(runCol),runCol&lt;&gt;"""")),
x,BYROW(runRows,LAMBDA(r,
  LET(
    k,XMATCH(r,runRows),
    nextRun,IFERROR(INDEX(runRows,k+1),lastUsed+1),
    rng,I"&amp;"NDEX($B:$B,r+2):INDEX($B:$B,nextRun-1),
    SUMPRODUCT((rng&lt;&gt;"""")*(LEFT(TRIM(rng),1)&lt;&gt;""-""))
  )
)),
HSTACK(AVERAGE(x),STDEV.S(x))
)"),6.0)</f>
        <v>6</v>
      </c>
      <c r="J1" s="4">
        <f>IFERROR(__xludf.DUMMYFUNCTION("""COMPUTED_VALUE"""),0.816496580927726)</f>
        <v>0.8164965809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G2" s="6">
        <f>IFERROR(__xludf.DUMMYFUNCTION("""COMPUTED_VALUE"""),6.0)</f>
        <v>6</v>
      </c>
      <c r="M2" s="6">
        <f>IFERROR(__xludf.DUMMYFUNCTION("LET(
expected,{
""Business Stakeholder"";
""Business Analyst"";
""Domain Expert"";
""Data Scientist"";
""Data Engineer"";
""Data Steward"";
""Scientist"";
""ML Engineer / Developer"";
""Solution Architect"";
""Software Engineer"";
""Software Developer"";
"&amp;"""Application Developer"";
""DevOps Engineer"";
""MLOps Engineer"";
""Operations Engineer"";
""IT Operations / Professional""
},
norm,LAMBDA(t,LOWER(TRIM(SUBSTITUTE(SUBSTITUTE(SUBSTITUTE(SUBSTITUTE(SUBSTITUTE(SUBSTITUTE(SUBSTITUTE(t,CHAR(10),"",""),"";"","&amp;""",""),""|"","",""),""•"","",""),"" / "",""/""),"" /"",""/""),""/ "",""/"")))),
expNorm,MAP(expected,norm),
runCol,$A$1:$A$300,
runRows,FILTER(ROW(runCol),ISNUMBER(SEARCH(""Run "",runCol))),
lastUsed,MAX(FILTER(ROW(runCol),runCol&lt;&gt;"""")),
BYROW(runRows,LA"&amp;"MBDA(r,
  LET(
    k,XMATCH(r,runRows),
    nextRun,IFERROR(INDEX(runRows,k+1),lastUsed+1),
    rng,INDEX($B:$B,r+2):INDEX($B:$B,nextRun-1),
    txt,"","" &amp; norm(TEXTJOIN("","",TRUE,rng)) &amp; "","",
    occ,MAP(expNorm,LAMBDA(a,(LEN(txt)-LEN(SUBSTITUTE(txt,"&amp;""",""&amp;a&amp;"","","""")))/LEN("",""&amp;a&amp;"",""))),
    SUM(MAP(occ,LAMBDA(n,MAX(n-1,0))))
  )
))
)"),0.0)</f>
        <v>0</v>
      </c>
    </row>
    <row r="3">
      <c r="A3" s="7" t="s">
        <v>1</v>
      </c>
      <c r="G3" s="6">
        <f>IFERROR(__xludf.DUMMYFUNCTION("""COMPUTED_VALUE"""),5.0)</f>
        <v>5</v>
      </c>
      <c r="M3" s="6">
        <f>IFERROR(__xludf.DUMMYFUNCTION("""COMPUTED_VALUE"""),0.0)</f>
        <v>0</v>
      </c>
    </row>
    <row r="4">
      <c r="A4" s="6" t="s">
        <v>269</v>
      </c>
      <c r="B4" s="6" t="s">
        <v>270</v>
      </c>
      <c r="C4" s="6" t="s">
        <v>271</v>
      </c>
      <c r="G4" s="6">
        <f>IFERROR(__xludf.DUMMYFUNCTION("""COMPUTED_VALUE"""),6.0)</f>
        <v>6</v>
      </c>
      <c r="M4" s="6">
        <f>IFERROR(__xludf.DUMMYFUNCTION("""COMPUTED_VALUE"""),0.0)</f>
        <v>0</v>
      </c>
    </row>
    <row r="5">
      <c r="A5" s="6" t="s">
        <v>272</v>
      </c>
      <c r="B5" s="6" t="s">
        <v>30</v>
      </c>
      <c r="C5" s="6" t="s">
        <v>7</v>
      </c>
      <c r="G5" s="6">
        <f>IFERROR(__xludf.DUMMYFUNCTION("""COMPUTED_VALUE"""),6.0)</f>
        <v>6</v>
      </c>
      <c r="M5" s="6">
        <f>IFERROR(__xludf.DUMMYFUNCTION("""COMPUTED_VALUE"""),0.0)</f>
        <v>0</v>
      </c>
    </row>
    <row r="6">
      <c r="A6" s="6" t="s">
        <v>273</v>
      </c>
      <c r="B6" s="6" t="s">
        <v>274</v>
      </c>
      <c r="C6" s="6" t="s">
        <v>15</v>
      </c>
      <c r="G6" s="6">
        <f>IFERROR(__xludf.DUMMYFUNCTION("""COMPUTED_VALUE"""),6.0)</f>
        <v>6</v>
      </c>
      <c r="M6" s="6">
        <f>IFERROR(__xludf.DUMMYFUNCTION("""COMPUTED_VALUE"""),0.0)</f>
        <v>0</v>
      </c>
    </row>
    <row r="7">
      <c r="A7" s="6" t="s">
        <v>275</v>
      </c>
      <c r="B7" s="6" t="s">
        <v>276</v>
      </c>
      <c r="C7" s="6" t="s">
        <v>35</v>
      </c>
      <c r="G7" s="6">
        <f>IFERROR(__xludf.DUMMYFUNCTION("""COMPUTED_VALUE"""),6.0)</f>
        <v>6</v>
      </c>
      <c r="M7" s="6">
        <f>IFERROR(__xludf.DUMMYFUNCTION("""COMPUTED_VALUE"""),0.0)</f>
        <v>0</v>
      </c>
    </row>
    <row r="8">
      <c r="A8" s="6" t="s">
        <v>277</v>
      </c>
      <c r="B8" s="6" t="s">
        <v>278</v>
      </c>
      <c r="C8" s="6" t="s">
        <v>12</v>
      </c>
      <c r="G8" s="6">
        <f>IFERROR(__xludf.DUMMYFUNCTION("""COMPUTED_VALUE"""),8.0)</f>
        <v>8</v>
      </c>
      <c r="M8" s="6">
        <f>IFERROR(__xludf.DUMMYFUNCTION("""COMPUTED_VALUE"""),0.0)</f>
        <v>0</v>
      </c>
    </row>
    <row r="9">
      <c r="A9" s="6" t="s">
        <v>279</v>
      </c>
      <c r="B9" s="6" t="s">
        <v>280</v>
      </c>
      <c r="C9" s="6" t="s">
        <v>18</v>
      </c>
      <c r="G9" s="6">
        <f>IFERROR(__xludf.DUMMYFUNCTION("""COMPUTED_VALUE"""),5.0)</f>
        <v>5</v>
      </c>
      <c r="M9" s="6">
        <f>IFERROR(__xludf.DUMMYFUNCTION("""COMPUTED_VALUE"""),0.0)</f>
        <v>0</v>
      </c>
    </row>
    <row r="10">
      <c r="A10" s="6" t="s">
        <v>281</v>
      </c>
      <c r="B10" s="6" t="s">
        <v>23</v>
      </c>
      <c r="C10" s="6" t="s">
        <v>24</v>
      </c>
      <c r="G10" s="6">
        <f>IFERROR(__xludf.DUMMYFUNCTION("""COMPUTED_VALUE"""),6.0)</f>
        <v>6</v>
      </c>
      <c r="M10" s="6">
        <f>IFERROR(__xludf.DUMMYFUNCTION("""COMPUTED_VALUE"""),0.0)</f>
        <v>0</v>
      </c>
    </row>
    <row r="11">
      <c r="M11" s="6">
        <f>IFERROR(__xludf.DUMMYFUNCTION("""COMPUTED_VALUE"""),0.0)</f>
        <v>0</v>
      </c>
    </row>
    <row r="12">
      <c r="A12" s="7" t="s">
        <v>25</v>
      </c>
    </row>
    <row r="13">
      <c r="A13" s="6" t="s">
        <v>269</v>
      </c>
      <c r="B13" s="6" t="s">
        <v>270</v>
      </c>
      <c r="C13" s="6" t="s">
        <v>271</v>
      </c>
    </row>
    <row r="14">
      <c r="A14" s="6" t="s">
        <v>282</v>
      </c>
      <c r="B14" s="6" t="s">
        <v>6</v>
      </c>
      <c r="C14" s="6" t="s">
        <v>7</v>
      </c>
    </row>
    <row r="15">
      <c r="A15" s="6" t="s">
        <v>283</v>
      </c>
      <c r="B15" s="6" t="s">
        <v>218</v>
      </c>
      <c r="C15" s="6" t="s">
        <v>12</v>
      </c>
    </row>
    <row r="16">
      <c r="A16" s="6" t="s">
        <v>284</v>
      </c>
      <c r="B16" s="6" t="s">
        <v>14</v>
      </c>
      <c r="C16" s="6" t="s">
        <v>15</v>
      </c>
    </row>
    <row r="17">
      <c r="A17" s="6" t="s">
        <v>285</v>
      </c>
      <c r="B17" s="6" t="s">
        <v>73</v>
      </c>
      <c r="C17" s="6" t="s">
        <v>35</v>
      </c>
    </row>
    <row r="18">
      <c r="A18" s="6" t="s">
        <v>286</v>
      </c>
      <c r="B18" s="6" t="s">
        <v>216</v>
      </c>
      <c r="C18" s="6" t="s">
        <v>18</v>
      </c>
    </row>
    <row r="19">
      <c r="A19" s="6" t="s">
        <v>287</v>
      </c>
      <c r="B19" s="6" t="s">
        <v>23</v>
      </c>
      <c r="C19" s="6" t="s">
        <v>24</v>
      </c>
    </row>
    <row r="21" ht="15.75" customHeight="1">
      <c r="A21" s="7" t="s">
        <v>38</v>
      </c>
    </row>
    <row r="22" ht="15.75" customHeight="1">
      <c r="A22" s="6" t="s">
        <v>269</v>
      </c>
      <c r="B22" s="6" t="s">
        <v>270</v>
      </c>
      <c r="C22" s="6" t="s">
        <v>271</v>
      </c>
    </row>
    <row r="23" ht="15.75" customHeight="1">
      <c r="A23" s="6" t="s">
        <v>272</v>
      </c>
      <c r="B23" s="6" t="s">
        <v>30</v>
      </c>
      <c r="C23" s="6" t="s">
        <v>7</v>
      </c>
    </row>
    <row r="24" ht="15.75" customHeight="1">
      <c r="A24" s="6" t="s">
        <v>288</v>
      </c>
      <c r="B24" s="6" t="s">
        <v>214</v>
      </c>
      <c r="C24" s="6" t="s">
        <v>35</v>
      </c>
    </row>
    <row r="25" ht="15.75" customHeight="1">
      <c r="A25" s="6" t="s">
        <v>289</v>
      </c>
      <c r="B25" s="6" t="s">
        <v>216</v>
      </c>
      <c r="C25" s="6" t="s">
        <v>18</v>
      </c>
    </row>
    <row r="26" ht="15.75" customHeight="1">
      <c r="A26" s="6" t="s">
        <v>290</v>
      </c>
      <c r="B26" s="6" t="s">
        <v>12</v>
      </c>
      <c r="C26" s="6" t="s">
        <v>12</v>
      </c>
    </row>
    <row r="27" ht="15.75" customHeight="1">
      <c r="A27" s="6" t="s">
        <v>291</v>
      </c>
      <c r="B27" s="6" t="s">
        <v>23</v>
      </c>
      <c r="C27" s="6" t="s">
        <v>24</v>
      </c>
    </row>
    <row r="28" ht="15.75" customHeight="1"/>
    <row r="29" ht="15.75" customHeight="1">
      <c r="A29" s="7" t="s">
        <v>55</v>
      </c>
    </row>
    <row r="30" ht="15.75" customHeight="1">
      <c r="A30" s="6" t="s">
        <v>269</v>
      </c>
      <c r="B30" s="6" t="s">
        <v>270</v>
      </c>
      <c r="C30" s="6" t="s">
        <v>271</v>
      </c>
    </row>
    <row r="31" ht="15.75" customHeight="1">
      <c r="A31" s="6" t="s">
        <v>292</v>
      </c>
      <c r="B31" s="6" t="s">
        <v>6</v>
      </c>
      <c r="C31" s="6" t="s">
        <v>7</v>
      </c>
    </row>
    <row r="32" ht="15.75" customHeight="1">
      <c r="A32" s="6" t="s">
        <v>293</v>
      </c>
      <c r="B32" s="6" t="s">
        <v>294</v>
      </c>
      <c r="C32" s="6" t="s">
        <v>10</v>
      </c>
    </row>
    <row r="33" ht="15.75" customHeight="1">
      <c r="A33" s="6" t="s">
        <v>295</v>
      </c>
      <c r="B33" s="6" t="s">
        <v>296</v>
      </c>
      <c r="C33" s="6" t="s">
        <v>35</v>
      </c>
    </row>
    <row r="34" ht="15.75" customHeight="1">
      <c r="A34" s="6" t="s">
        <v>297</v>
      </c>
      <c r="B34" s="6" t="s">
        <v>216</v>
      </c>
      <c r="C34" s="6" t="s">
        <v>18</v>
      </c>
    </row>
    <row r="35" ht="15.75" customHeight="1">
      <c r="A35" s="6" t="s">
        <v>298</v>
      </c>
      <c r="B35" s="6" t="s">
        <v>12</v>
      </c>
      <c r="C35" s="6" t="s">
        <v>12</v>
      </c>
    </row>
    <row r="36" ht="15.75" customHeight="1">
      <c r="A36" s="6" t="s">
        <v>299</v>
      </c>
      <c r="B36" s="6" t="s">
        <v>23</v>
      </c>
      <c r="C36" s="6" t="s">
        <v>24</v>
      </c>
    </row>
    <row r="37" ht="15.75" customHeight="1"/>
    <row r="38" ht="15.75" customHeight="1">
      <c r="A38" s="7" t="s">
        <v>70</v>
      </c>
    </row>
    <row r="39" ht="15.75" customHeight="1">
      <c r="A39" s="6" t="s">
        <v>269</v>
      </c>
      <c r="B39" s="6" t="s">
        <v>270</v>
      </c>
      <c r="C39" s="6" t="s">
        <v>271</v>
      </c>
    </row>
    <row r="40" ht="15.75" customHeight="1">
      <c r="A40" s="6" t="s">
        <v>300</v>
      </c>
      <c r="B40" s="6" t="s">
        <v>6</v>
      </c>
      <c r="C40" s="6" t="s">
        <v>7</v>
      </c>
    </row>
    <row r="41" ht="15.75" customHeight="1">
      <c r="A41" s="6" t="s">
        <v>301</v>
      </c>
      <c r="B41" s="6" t="s">
        <v>294</v>
      </c>
      <c r="C41" s="6" t="s">
        <v>10</v>
      </c>
    </row>
    <row r="42" ht="15.75" customHeight="1">
      <c r="A42" s="6" t="s">
        <v>302</v>
      </c>
      <c r="B42" s="6" t="s">
        <v>296</v>
      </c>
      <c r="C42" s="6" t="s">
        <v>35</v>
      </c>
    </row>
    <row r="43" ht="15.75" customHeight="1">
      <c r="A43" s="6" t="s">
        <v>303</v>
      </c>
      <c r="B43" s="6" t="s">
        <v>304</v>
      </c>
      <c r="C43" s="6" t="s">
        <v>18</v>
      </c>
    </row>
    <row r="44" ht="15.75" customHeight="1">
      <c r="A44" s="6" t="s">
        <v>305</v>
      </c>
      <c r="B44" s="6" t="s">
        <v>263</v>
      </c>
      <c r="C44" s="6" t="s">
        <v>12</v>
      </c>
    </row>
    <row r="45" ht="15.75" customHeight="1">
      <c r="A45" s="6" t="s">
        <v>306</v>
      </c>
      <c r="B45" s="6" t="s">
        <v>23</v>
      </c>
      <c r="C45" s="6" t="s">
        <v>24</v>
      </c>
    </row>
    <row r="46" ht="15.75" customHeight="1"/>
    <row r="47" ht="15.75" customHeight="1">
      <c r="A47" s="7" t="s">
        <v>77</v>
      </c>
    </row>
    <row r="48" ht="15.75" customHeight="1">
      <c r="A48" s="6" t="s">
        <v>269</v>
      </c>
      <c r="B48" s="6" t="s">
        <v>270</v>
      </c>
      <c r="C48" s="6" t="s">
        <v>271</v>
      </c>
    </row>
    <row r="49" ht="15.75" customHeight="1">
      <c r="A49" s="6" t="s">
        <v>292</v>
      </c>
      <c r="B49" s="6" t="s">
        <v>6</v>
      </c>
      <c r="C49" s="6" t="s">
        <v>7</v>
      </c>
    </row>
    <row r="50" ht="15.75" customHeight="1">
      <c r="A50" s="6" t="s">
        <v>293</v>
      </c>
      <c r="B50" s="6" t="s">
        <v>294</v>
      </c>
      <c r="C50" s="6" t="s">
        <v>10</v>
      </c>
    </row>
    <row r="51" ht="15.75" customHeight="1">
      <c r="A51" s="6" t="s">
        <v>307</v>
      </c>
      <c r="B51" s="6" t="s">
        <v>296</v>
      </c>
      <c r="C51" s="6" t="s">
        <v>35</v>
      </c>
    </row>
    <row r="52" ht="15.75" customHeight="1">
      <c r="A52" s="6" t="s">
        <v>277</v>
      </c>
      <c r="B52" s="6" t="s">
        <v>12</v>
      </c>
      <c r="C52" s="6" t="s">
        <v>12</v>
      </c>
    </row>
    <row r="53" ht="15.75" customHeight="1">
      <c r="A53" s="6" t="s">
        <v>308</v>
      </c>
      <c r="B53" s="6" t="s">
        <v>216</v>
      </c>
      <c r="C53" s="6" t="s">
        <v>18</v>
      </c>
    </row>
    <row r="54" ht="15.75" customHeight="1">
      <c r="A54" s="6" t="s">
        <v>309</v>
      </c>
      <c r="B54" s="6" t="s">
        <v>23</v>
      </c>
      <c r="C54" s="6" t="s">
        <v>24</v>
      </c>
    </row>
    <row r="55" ht="15.75" customHeight="1"/>
    <row r="56" ht="15.75" customHeight="1">
      <c r="A56" s="7" t="s">
        <v>84</v>
      </c>
    </row>
    <row r="57" ht="15.75" customHeight="1">
      <c r="A57" s="6" t="s">
        <v>269</v>
      </c>
      <c r="B57" s="6" t="s">
        <v>270</v>
      </c>
      <c r="C57" s="6" t="s">
        <v>271</v>
      </c>
    </row>
    <row r="58" ht="15.75" customHeight="1">
      <c r="A58" s="6" t="s">
        <v>282</v>
      </c>
      <c r="B58" s="6" t="s">
        <v>6</v>
      </c>
      <c r="C58" s="6" t="s">
        <v>7</v>
      </c>
    </row>
    <row r="59" ht="15.75" customHeight="1">
      <c r="A59" s="6" t="s">
        <v>310</v>
      </c>
      <c r="B59" s="6" t="s">
        <v>294</v>
      </c>
      <c r="C59" s="6" t="s">
        <v>10</v>
      </c>
    </row>
    <row r="60" ht="15.75" customHeight="1">
      <c r="A60" s="6" t="s">
        <v>277</v>
      </c>
      <c r="B60" s="6" t="s">
        <v>12</v>
      </c>
      <c r="C60" s="6" t="s">
        <v>12</v>
      </c>
    </row>
    <row r="61" ht="15.75" customHeight="1">
      <c r="A61" s="6" t="s">
        <v>311</v>
      </c>
      <c r="B61" s="6" t="s">
        <v>296</v>
      </c>
      <c r="C61" s="6" t="s">
        <v>35</v>
      </c>
    </row>
    <row r="62" ht="15.75" customHeight="1">
      <c r="A62" s="6" t="s">
        <v>312</v>
      </c>
      <c r="B62" s="6" t="s">
        <v>216</v>
      </c>
      <c r="C62" s="6" t="s">
        <v>18</v>
      </c>
    </row>
    <row r="63" ht="15.75" customHeight="1">
      <c r="A63" s="6" t="s">
        <v>313</v>
      </c>
      <c r="B63" s="6" t="s">
        <v>23</v>
      </c>
      <c r="C63" s="6" t="s">
        <v>24</v>
      </c>
    </row>
    <row r="64" ht="15.75" customHeight="1"/>
    <row r="65" ht="15.75" customHeight="1">
      <c r="A65" s="7" t="s">
        <v>92</v>
      </c>
    </row>
    <row r="66" ht="15.75" customHeight="1">
      <c r="A66" s="6" t="s">
        <v>269</v>
      </c>
      <c r="B66" s="6" t="s">
        <v>270</v>
      </c>
      <c r="C66" s="6" t="s">
        <v>271</v>
      </c>
    </row>
    <row r="67" ht="15.75" customHeight="1">
      <c r="A67" s="6" t="s">
        <v>282</v>
      </c>
      <c r="B67" s="6" t="s">
        <v>6</v>
      </c>
      <c r="C67" s="6" t="s">
        <v>7</v>
      </c>
    </row>
    <row r="68" ht="15.75" customHeight="1">
      <c r="A68" s="6" t="s">
        <v>283</v>
      </c>
      <c r="B68" s="6" t="s">
        <v>218</v>
      </c>
      <c r="C68" s="6" t="s">
        <v>12</v>
      </c>
    </row>
    <row r="69" ht="15.75" customHeight="1">
      <c r="A69" s="6" t="s">
        <v>284</v>
      </c>
      <c r="B69" s="6" t="s">
        <v>14</v>
      </c>
      <c r="C69" s="6" t="s">
        <v>15</v>
      </c>
    </row>
    <row r="70" ht="15.75" customHeight="1">
      <c r="A70" s="6" t="s">
        <v>285</v>
      </c>
      <c r="B70" s="6" t="s">
        <v>73</v>
      </c>
      <c r="C70" s="6" t="s">
        <v>35</v>
      </c>
    </row>
    <row r="71" ht="15.75" customHeight="1">
      <c r="A71" s="6" t="s">
        <v>314</v>
      </c>
      <c r="B71" s="6" t="s">
        <v>304</v>
      </c>
      <c r="C71" s="6" t="s">
        <v>18</v>
      </c>
    </row>
    <row r="72" ht="15.75" customHeight="1">
      <c r="A72" s="6" t="s">
        <v>315</v>
      </c>
      <c r="B72" s="6" t="s">
        <v>316</v>
      </c>
      <c r="C72" s="6" t="s">
        <v>21</v>
      </c>
    </row>
    <row r="73" ht="15.75" customHeight="1">
      <c r="A73" s="6" t="s">
        <v>317</v>
      </c>
      <c r="B73" s="6" t="s">
        <v>318</v>
      </c>
      <c r="C73" s="6" t="s">
        <v>24</v>
      </c>
    </row>
    <row r="74" ht="15.75" customHeight="1">
      <c r="A74" s="6" t="s">
        <v>319</v>
      </c>
      <c r="B74" s="6" t="s">
        <v>320</v>
      </c>
      <c r="C74" s="6" t="s">
        <v>321</v>
      </c>
    </row>
    <row r="75" ht="15.75" customHeight="1"/>
    <row r="76" ht="15.75" customHeight="1">
      <c r="A76" s="7" t="s">
        <v>93</v>
      </c>
    </row>
    <row r="77" ht="15.75" customHeight="1">
      <c r="A77" s="6" t="s">
        <v>269</v>
      </c>
      <c r="B77" s="6" t="s">
        <v>270</v>
      </c>
      <c r="C77" s="6" t="s">
        <v>271</v>
      </c>
    </row>
    <row r="78" ht="15.75" customHeight="1">
      <c r="A78" s="6" t="s">
        <v>272</v>
      </c>
      <c r="B78" s="6" t="s">
        <v>30</v>
      </c>
      <c r="C78" s="6" t="s">
        <v>7</v>
      </c>
    </row>
    <row r="79" ht="15.75" customHeight="1">
      <c r="A79" s="6" t="s">
        <v>322</v>
      </c>
      <c r="B79" s="6" t="s">
        <v>214</v>
      </c>
      <c r="C79" s="6" t="s">
        <v>35</v>
      </c>
    </row>
    <row r="80" ht="15.75" customHeight="1">
      <c r="A80" s="6" t="s">
        <v>323</v>
      </c>
      <c r="B80" s="6" t="s">
        <v>12</v>
      </c>
      <c r="C80" s="6" t="s">
        <v>12</v>
      </c>
    </row>
    <row r="81" ht="15.75" customHeight="1">
      <c r="A81" s="6" t="s">
        <v>324</v>
      </c>
      <c r="B81" s="6" t="s">
        <v>216</v>
      </c>
      <c r="C81" s="6" t="s">
        <v>18</v>
      </c>
    </row>
    <row r="82" ht="15.75" customHeight="1">
      <c r="A82" s="6" t="s">
        <v>325</v>
      </c>
      <c r="B82" s="6" t="s">
        <v>23</v>
      </c>
      <c r="C82" s="6" t="s">
        <v>24</v>
      </c>
    </row>
    <row r="83" ht="15.75" customHeight="1"/>
    <row r="84" ht="15.75" customHeight="1"/>
    <row r="85" ht="15.75" customHeight="1">
      <c r="A85" s="7" t="s">
        <v>101</v>
      </c>
    </row>
    <row r="86" ht="15.75" customHeight="1">
      <c r="A86" s="6" t="s">
        <v>269</v>
      </c>
      <c r="B86" s="6" t="s">
        <v>270</v>
      </c>
      <c r="C86" s="6" t="s">
        <v>271</v>
      </c>
    </row>
    <row r="87" ht="15.75" customHeight="1">
      <c r="A87" s="6" t="s">
        <v>300</v>
      </c>
      <c r="B87" s="6" t="s">
        <v>6</v>
      </c>
      <c r="C87" s="6" t="s">
        <v>7</v>
      </c>
    </row>
    <row r="88" ht="15.75" customHeight="1">
      <c r="A88" s="6" t="s">
        <v>301</v>
      </c>
      <c r="B88" s="6" t="s">
        <v>326</v>
      </c>
      <c r="C88" s="6" t="s">
        <v>10</v>
      </c>
    </row>
    <row r="89" ht="15.75" customHeight="1">
      <c r="A89" s="6" t="s">
        <v>327</v>
      </c>
      <c r="B89" s="6" t="s">
        <v>296</v>
      </c>
      <c r="C89" s="6" t="s">
        <v>35</v>
      </c>
    </row>
    <row r="90" ht="15.75" customHeight="1">
      <c r="A90" s="6" t="s">
        <v>328</v>
      </c>
      <c r="B90" s="6" t="s">
        <v>126</v>
      </c>
      <c r="C90" s="6" t="s">
        <v>12</v>
      </c>
    </row>
    <row r="91" ht="15.75" customHeight="1">
      <c r="A91" s="6" t="s">
        <v>329</v>
      </c>
      <c r="B91" s="6" t="s">
        <v>330</v>
      </c>
      <c r="C91" s="6" t="s">
        <v>24</v>
      </c>
    </row>
    <row r="92" ht="15.75" customHeight="1">
      <c r="A92" s="6" t="s">
        <v>331</v>
      </c>
      <c r="B92" s="6" t="s">
        <v>99</v>
      </c>
      <c r="C92" s="6" t="s">
        <v>54</v>
      </c>
    </row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7.14"/>
    <col customWidth="1" min="2" max="2" width="100.86"/>
    <col customWidth="1" min="3" max="3" width="27.71"/>
    <col customWidth="1" min="4" max="26" width="8.71"/>
  </cols>
  <sheetData>
    <row r="1">
      <c r="A1" s="1" t="s">
        <v>332</v>
      </c>
      <c r="B1" s="2"/>
      <c r="C1" s="2"/>
      <c r="D1" s="2"/>
      <c r="E1" s="2"/>
      <c r="F1" s="3"/>
      <c r="G1" s="4"/>
      <c r="H1" s="4">
        <f>IFERROR(__xludf.DUMMYFUNCTION("LET(
runCol,$A$1:$A$300,
runRows,FILTER(ROW(runCol),ISNUMBER(SEARCH(""Run "",runCol))),
lastUsed,MAX(FILTER(ROW(runCol),runCol&lt;&gt;"""")),
BYROW(runRows,LAMBDA(r,
  LET(
    k,XMATCH(r,runRows),
    nextRun,IFERROR(INDEX(runRows,k+1),lastUsed+1),
    rng,IND"&amp;"EX($B:$B,r+2):INDEX($B:$B,nextRun-1),
    SUMPRODUCT((rng&lt;&gt;"""")*(LEFT(TRIM(rng),1)&lt;&gt;""-""))
  )
))
)"),7.0)</f>
        <v>7</v>
      </c>
      <c r="I1" s="4"/>
      <c r="J1" s="4">
        <f>IFERROR(__xludf.DUMMYFUNCTION("LET(
runCol,$A$1:$A$300,
runRows,FILTER(ROW(runCol),ISNUMBER(SEARCH(""Run "",runCol))),
lastUsed,MAX(FILTER(ROW(runCol),runCol&lt;&gt;"""")),
x,BYROW(runRows,LAMBDA(r,
  LET(
    k,XMATCH(r,runRows),
    nextRun,IFERROR(INDEX(runRows,k+1),lastUsed+1),
    rng,I"&amp;"NDEX($B:$B,r+2):INDEX($B:$B,nextRun-1),
    SUMPRODUCT((rng&lt;&gt;"""")*(LEFT(TRIM(rng),1)&lt;&gt;""-""))
  )
)),
HSTACK(AVERAGE(x),STDEV.S(x))
)"),5.8)</f>
        <v>5.8</v>
      </c>
      <c r="K1" s="4">
        <f>IFERROR(__xludf.DUMMYFUNCTION("""COMPUTED_VALUE"""),0.7888106377466154)</f>
        <v>0.7888106377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H2" s="6">
        <f>IFERROR(__xludf.DUMMYFUNCTION("""COMPUTED_VALUE"""),5.0)</f>
        <v>5</v>
      </c>
      <c r="O2" s="6">
        <f>IFERROR(__xludf.DUMMYFUNCTION("LET(
expected,{
""Business Stakeholder"";
""Business Analyst"";
""Domain Expert"";
""Data Scientist"";
""Data Engineer"";
""Data Steward"";
""Scientist"";
""ML Engineer / Developer"";
""Solution Architect"";
""Software Engineer"";
""Software Developer"";
"&amp;"""Application Developer"";
""DevOps Engineer"";
""MLOps Engineer"";
""Operations Engineer"";
""IT Operations / Professional""
},
norm,LAMBDA(t,LOWER(TRIM(SUBSTITUTE(SUBSTITUTE(SUBSTITUTE(SUBSTITUTE(SUBSTITUTE(SUBSTITUTE(SUBSTITUTE(t,CHAR(10),"",""),"";"","&amp;""",""),""|"","",""),""•"","",""),"" / "",""/""),"" /"",""/""),""/ "",""/"")))),
expNorm,MAP(expected,norm),
runCol,$A$1:$A$300,
runRows,FILTER(ROW(runCol),ISNUMBER(SEARCH(""Run "",runCol))),
lastUsed,MAX(FILTER(ROW(runCol),runCol&lt;&gt;"""")),
BYROW(runRows,LA"&amp;"MBDA(r,
  LET(
    k,XMATCH(r,runRows),
    nextRun,IFERROR(INDEX(runRows,k+1),lastUsed+1),
    rng,INDEX($B:$B,r+2):INDEX($B:$B,nextRun-1),
    txt,"","" &amp; norm(TEXTJOIN("","",TRUE,rng)) &amp; "","",
    occ,MAP(expNorm,LAMBDA(a,(LEN(txt)-LEN(SUBSTITUTE(txt,"&amp;""",""&amp;a&amp;"","","""")))/LEN("",""&amp;a&amp;"",""))),
    SUM(MAP(occ,LAMBDA(n,MAX(n-1,0))))
  )
))
)"),0.0)</f>
        <v>0</v>
      </c>
    </row>
    <row r="3">
      <c r="A3" s="7" t="s">
        <v>1</v>
      </c>
      <c r="H3" s="6">
        <f>IFERROR(__xludf.DUMMYFUNCTION("""COMPUTED_VALUE"""),6.0)</f>
        <v>6</v>
      </c>
      <c r="O3" s="6">
        <f>IFERROR(__xludf.DUMMYFUNCTION("""COMPUTED_VALUE"""),0.0)</f>
        <v>0</v>
      </c>
    </row>
    <row r="4">
      <c r="A4" s="6" t="s">
        <v>269</v>
      </c>
      <c r="B4" s="6" t="s">
        <v>270</v>
      </c>
      <c r="C4" s="6" t="s">
        <v>271</v>
      </c>
      <c r="H4" s="6">
        <f>IFERROR(__xludf.DUMMYFUNCTION("""COMPUTED_VALUE"""),6.0)</f>
        <v>6</v>
      </c>
      <c r="O4" s="6">
        <f>IFERROR(__xludf.DUMMYFUNCTION("""COMPUTED_VALUE"""),0.0)</f>
        <v>0</v>
      </c>
    </row>
    <row r="5">
      <c r="A5" s="6" t="s">
        <v>333</v>
      </c>
      <c r="B5" s="6" t="s">
        <v>6</v>
      </c>
      <c r="C5" s="6" t="s">
        <v>7</v>
      </c>
      <c r="H5" s="6">
        <f>IFERROR(__xludf.DUMMYFUNCTION("""COMPUTED_VALUE"""),5.0)</f>
        <v>5</v>
      </c>
      <c r="O5" s="6">
        <f>IFERROR(__xludf.DUMMYFUNCTION("""COMPUTED_VALUE"""),0.0)</f>
        <v>0</v>
      </c>
    </row>
    <row r="6">
      <c r="A6" s="6" t="s">
        <v>334</v>
      </c>
      <c r="B6" s="6" t="s">
        <v>294</v>
      </c>
      <c r="C6" s="6" t="s">
        <v>10</v>
      </c>
      <c r="H6" s="6">
        <f>IFERROR(__xludf.DUMMYFUNCTION("""COMPUTED_VALUE"""),6.0)</f>
        <v>6</v>
      </c>
      <c r="O6" s="6">
        <f>IFERROR(__xludf.DUMMYFUNCTION("""COMPUTED_VALUE"""),1.0)</f>
        <v>1</v>
      </c>
    </row>
    <row r="7">
      <c r="A7" s="6" t="s">
        <v>335</v>
      </c>
      <c r="B7" s="6" t="s">
        <v>296</v>
      </c>
      <c r="C7" s="6" t="s">
        <v>35</v>
      </c>
      <c r="H7" s="6">
        <f>IFERROR(__xludf.DUMMYFUNCTION("""COMPUTED_VALUE"""),5.0)</f>
        <v>5</v>
      </c>
      <c r="O7" s="6">
        <f>IFERROR(__xludf.DUMMYFUNCTION("""COMPUTED_VALUE"""),0.0)</f>
        <v>0</v>
      </c>
    </row>
    <row r="8">
      <c r="A8" s="6" t="s">
        <v>336</v>
      </c>
      <c r="B8" s="6" t="s">
        <v>12</v>
      </c>
      <c r="C8" s="6" t="s">
        <v>12</v>
      </c>
      <c r="H8" s="6">
        <f>IFERROR(__xludf.DUMMYFUNCTION("""COMPUTED_VALUE"""),7.0)</f>
        <v>7</v>
      </c>
      <c r="O8" s="6">
        <f>IFERROR(__xludf.DUMMYFUNCTION("""COMPUTED_VALUE"""),0.0)</f>
        <v>0</v>
      </c>
    </row>
    <row r="9">
      <c r="A9" s="6" t="s">
        <v>337</v>
      </c>
      <c r="B9" s="6" t="s">
        <v>20</v>
      </c>
      <c r="C9" s="6" t="s">
        <v>21</v>
      </c>
      <c r="H9" s="6">
        <f>IFERROR(__xludf.DUMMYFUNCTION("""COMPUTED_VALUE"""),5.0)</f>
        <v>5</v>
      </c>
      <c r="O9" s="6">
        <f>IFERROR(__xludf.DUMMYFUNCTION("""COMPUTED_VALUE"""),0.0)</f>
        <v>0</v>
      </c>
    </row>
    <row r="10">
      <c r="A10" s="6" t="s">
        <v>338</v>
      </c>
      <c r="B10" s="6" t="s">
        <v>330</v>
      </c>
      <c r="C10" s="6" t="s">
        <v>24</v>
      </c>
      <c r="H10" s="6">
        <f>IFERROR(__xludf.DUMMYFUNCTION("""COMPUTED_VALUE"""),6.0)</f>
        <v>6</v>
      </c>
      <c r="O10" s="6">
        <f>IFERROR(__xludf.DUMMYFUNCTION("""COMPUTED_VALUE"""),0.0)</f>
        <v>0</v>
      </c>
    </row>
    <row r="11">
      <c r="A11" s="6" t="s">
        <v>339</v>
      </c>
      <c r="B11" s="6" t="s">
        <v>99</v>
      </c>
      <c r="C11" s="6" t="s">
        <v>54</v>
      </c>
      <c r="O11" s="6">
        <f>IFERROR(__xludf.DUMMYFUNCTION("""COMPUTED_VALUE"""),0.0)</f>
        <v>0</v>
      </c>
    </row>
    <row r="13">
      <c r="A13" s="7" t="s">
        <v>25</v>
      </c>
    </row>
    <row r="14">
      <c r="A14" s="6" t="s">
        <v>269</v>
      </c>
      <c r="B14" s="6" t="s">
        <v>270</v>
      </c>
      <c r="C14" s="6" t="s">
        <v>271</v>
      </c>
    </row>
    <row r="15">
      <c r="A15" s="6" t="s">
        <v>272</v>
      </c>
      <c r="B15" s="6" t="s">
        <v>30</v>
      </c>
      <c r="C15" s="6" t="s">
        <v>7</v>
      </c>
    </row>
    <row r="16">
      <c r="A16" s="6" t="s">
        <v>340</v>
      </c>
      <c r="B16" s="6" t="s">
        <v>341</v>
      </c>
      <c r="C16" s="6" t="s">
        <v>12</v>
      </c>
    </row>
    <row r="17">
      <c r="A17" s="6" t="s">
        <v>342</v>
      </c>
      <c r="B17" s="6" t="s">
        <v>214</v>
      </c>
      <c r="C17" s="6" t="s">
        <v>35</v>
      </c>
    </row>
    <row r="18">
      <c r="A18" s="6" t="s">
        <v>343</v>
      </c>
      <c r="B18" s="6" t="s">
        <v>216</v>
      </c>
      <c r="C18" s="6" t="s">
        <v>18</v>
      </c>
    </row>
    <row r="19">
      <c r="A19" s="6" t="s">
        <v>344</v>
      </c>
      <c r="B19" s="6" t="s">
        <v>23</v>
      </c>
      <c r="C19" s="6" t="s">
        <v>24</v>
      </c>
    </row>
    <row r="21" ht="15.75" customHeight="1">
      <c r="A21" s="7" t="s">
        <v>38</v>
      </c>
    </row>
    <row r="22" ht="15.75" customHeight="1">
      <c r="A22" s="6" t="s">
        <v>269</v>
      </c>
      <c r="B22" s="6" t="s">
        <v>270</v>
      </c>
      <c r="C22" s="6" t="s">
        <v>271</v>
      </c>
    </row>
    <row r="23" ht="15.75" customHeight="1">
      <c r="A23" s="6" t="s">
        <v>345</v>
      </c>
      <c r="B23" s="6" t="s">
        <v>6</v>
      </c>
      <c r="C23" s="6" t="s">
        <v>7</v>
      </c>
    </row>
    <row r="24" ht="15.75" customHeight="1">
      <c r="A24" s="6" t="s">
        <v>283</v>
      </c>
      <c r="B24" s="6" t="s">
        <v>346</v>
      </c>
      <c r="C24" s="6" t="s">
        <v>12</v>
      </c>
    </row>
    <row r="25" ht="15.75" customHeight="1">
      <c r="A25" s="6" t="s">
        <v>347</v>
      </c>
      <c r="B25" s="6" t="s">
        <v>14</v>
      </c>
      <c r="C25" s="6" t="s">
        <v>163</v>
      </c>
    </row>
    <row r="26" ht="15.75" customHeight="1">
      <c r="A26" s="6" t="s">
        <v>348</v>
      </c>
      <c r="B26" s="6" t="s">
        <v>17</v>
      </c>
      <c r="C26" s="6" t="s">
        <v>35</v>
      </c>
    </row>
    <row r="27" ht="15.75" customHeight="1">
      <c r="A27" s="6" t="s">
        <v>349</v>
      </c>
      <c r="B27" s="6" t="s">
        <v>20</v>
      </c>
      <c r="C27" s="6" t="s">
        <v>21</v>
      </c>
    </row>
    <row r="28" ht="15.75" customHeight="1">
      <c r="A28" s="6" t="s">
        <v>350</v>
      </c>
      <c r="B28" s="6" t="s">
        <v>23</v>
      </c>
      <c r="C28" s="6" t="s">
        <v>24</v>
      </c>
    </row>
    <row r="29" ht="15.75" customHeight="1"/>
    <row r="30" ht="15.75" customHeight="1">
      <c r="A30" s="7" t="s">
        <v>55</v>
      </c>
    </row>
    <row r="31" ht="15.75" customHeight="1">
      <c r="A31" s="6" t="s">
        <v>269</v>
      </c>
      <c r="B31" s="6" t="s">
        <v>270</v>
      </c>
      <c r="C31" s="6" t="s">
        <v>271</v>
      </c>
    </row>
    <row r="32" ht="15.75" customHeight="1">
      <c r="A32" s="6" t="s">
        <v>272</v>
      </c>
      <c r="B32" s="6" t="s">
        <v>30</v>
      </c>
      <c r="C32" s="6" t="s">
        <v>7</v>
      </c>
    </row>
    <row r="33" ht="15.75" customHeight="1">
      <c r="A33" s="6" t="s">
        <v>351</v>
      </c>
      <c r="B33" s="6" t="s">
        <v>274</v>
      </c>
      <c r="C33" s="6" t="s">
        <v>15</v>
      </c>
    </row>
    <row r="34" ht="15.75" customHeight="1">
      <c r="A34" s="6" t="s">
        <v>352</v>
      </c>
      <c r="B34" s="6" t="s">
        <v>228</v>
      </c>
      <c r="C34" s="6" t="s">
        <v>35</v>
      </c>
    </row>
    <row r="35" ht="15.75" customHeight="1">
      <c r="A35" s="6" t="s">
        <v>353</v>
      </c>
      <c r="B35" s="6" t="s">
        <v>20</v>
      </c>
      <c r="C35" s="6" t="s">
        <v>21</v>
      </c>
    </row>
    <row r="36" ht="15.75" customHeight="1">
      <c r="A36" s="6" t="s">
        <v>354</v>
      </c>
      <c r="B36" s="6" t="s">
        <v>12</v>
      </c>
      <c r="C36" s="6" t="s">
        <v>12</v>
      </c>
    </row>
    <row r="37" ht="15.75" customHeight="1">
      <c r="A37" s="6" t="s">
        <v>355</v>
      </c>
      <c r="B37" s="6" t="s">
        <v>23</v>
      </c>
      <c r="C37" s="6" t="s">
        <v>24</v>
      </c>
    </row>
    <row r="38" ht="15.75" customHeight="1"/>
    <row r="39" ht="15.75" customHeight="1">
      <c r="A39" s="7" t="s">
        <v>70</v>
      </c>
    </row>
    <row r="40" ht="15.75" customHeight="1">
      <c r="A40" s="6" t="s">
        <v>269</v>
      </c>
      <c r="B40" s="6" t="s">
        <v>270</v>
      </c>
      <c r="C40" s="6" t="s">
        <v>271</v>
      </c>
    </row>
    <row r="41" ht="15.75" customHeight="1">
      <c r="A41" s="6" t="s">
        <v>272</v>
      </c>
      <c r="B41" s="6" t="s">
        <v>30</v>
      </c>
      <c r="C41" s="6" t="s">
        <v>7</v>
      </c>
    </row>
    <row r="42" ht="15.75" customHeight="1">
      <c r="A42" s="6" t="s">
        <v>356</v>
      </c>
      <c r="B42" s="6" t="s">
        <v>214</v>
      </c>
      <c r="C42" s="6" t="s">
        <v>15</v>
      </c>
    </row>
    <row r="43" ht="15.75" customHeight="1">
      <c r="A43" s="6" t="s">
        <v>357</v>
      </c>
      <c r="B43" s="6" t="s">
        <v>358</v>
      </c>
      <c r="C43" s="6" t="s">
        <v>18</v>
      </c>
    </row>
    <row r="44" ht="15.75" customHeight="1">
      <c r="A44" s="6" t="s">
        <v>359</v>
      </c>
      <c r="B44" s="6" t="s">
        <v>360</v>
      </c>
      <c r="C44" s="6" t="s">
        <v>12</v>
      </c>
    </row>
    <row r="45" ht="15.75" customHeight="1">
      <c r="A45" s="6" t="s">
        <v>361</v>
      </c>
      <c r="B45" s="6" t="s">
        <v>23</v>
      </c>
      <c r="C45" s="6" t="s">
        <v>24</v>
      </c>
    </row>
    <row r="46" ht="15.75" customHeight="1"/>
    <row r="47" ht="15.75" customHeight="1">
      <c r="A47" s="7" t="s">
        <v>77</v>
      </c>
    </row>
    <row r="48" ht="15.75" customHeight="1">
      <c r="A48" s="6" t="s">
        <v>269</v>
      </c>
      <c r="B48" s="6" t="s">
        <v>270</v>
      </c>
      <c r="C48" s="6" t="s">
        <v>271</v>
      </c>
    </row>
    <row r="49" ht="15.75" customHeight="1">
      <c r="A49" s="6" t="s">
        <v>362</v>
      </c>
      <c r="B49" s="6" t="s">
        <v>6</v>
      </c>
      <c r="C49" s="6" t="s">
        <v>7</v>
      </c>
    </row>
    <row r="50" ht="15.75" customHeight="1">
      <c r="A50" s="6" t="s">
        <v>363</v>
      </c>
      <c r="B50" s="6" t="s">
        <v>294</v>
      </c>
      <c r="C50" s="6" t="s">
        <v>10</v>
      </c>
    </row>
    <row r="51" ht="15.75" customHeight="1">
      <c r="A51" s="6" t="s">
        <v>364</v>
      </c>
      <c r="B51" s="6" t="s">
        <v>365</v>
      </c>
      <c r="C51" s="6" t="s">
        <v>35</v>
      </c>
    </row>
    <row r="52" ht="15.75" customHeight="1">
      <c r="A52" s="6" t="s">
        <v>366</v>
      </c>
      <c r="B52" s="6" t="s">
        <v>12</v>
      </c>
      <c r="C52" s="6" t="s">
        <v>12</v>
      </c>
    </row>
    <row r="53" ht="15.75" customHeight="1">
      <c r="A53" s="6" t="s">
        <v>367</v>
      </c>
      <c r="B53" s="6" t="s">
        <v>20</v>
      </c>
      <c r="C53" s="6" t="s">
        <v>21</v>
      </c>
    </row>
    <row r="54" ht="15.75" customHeight="1">
      <c r="A54" s="6" t="s">
        <v>368</v>
      </c>
      <c r="B54" s="6" t="s">
        <v>23</v>
      </c>
      <c r="C54" s="6" t="s">
        <v>24</v>
      </c>
    </row>
    <row r="55" ht="15.75" customHeight="1"/>
    <row r="56" ht="15.75" customHeight="1">
      <c r="A56" s="7" t="s">
        <v>84</v>
      </c>
    </row>
    <row r="57" ht="15.75" customHeight="1">
      <c r="A57" s="6" t="s">
        <v>269</v>
      </c>
      <c r="B57" s="6" t="s">
        <v>270</v>
      </c>
      <c r="C57" s="6" t="s">
        <v>271</v>
      </c>
    </row>
    <row r="58" ht="15.75" customHeight="1">
      <c r="A58" s="6" t="s">
        <v>369</v>
      </c>
      <c r="B58" s="6" t="s">
        <v>6</v>
      </c>
      <c r="C58" s="6" t="s">
        <v>7</v>
      </c>
    </row>
    <row r="59" ht="15.75" customHeight="1">
      <c r="A59" s="6" t="s">
        <v>370</v>
      </c>
      <c r="B59" s="6" t="s">
        <v>294</v>
      </c>
      <c r="C59" s="6" t="s">
        <v>10</v>
      </c>
    </row>
    <row r="60" ht="15.75" customHeight="1">
      <c r="A60" s="6" t="s">
        <v>371</v>
      </c>
      <c r="B60" s="6" t="s">
        <v>365</v>
      </c>
      <c r="C60" s="6" t="s">
        <v>35</v>
      </c>
    </row>
    <row r="61" ht="15.75" customHeight="1">
      <c r="A61" s="6" t="s">
        <v>372</v>
      </c>
      <c r="B61" s="6" t="s">
        <v>126</v>
      </c>
      <c r="C61" s="6" t="s">
        <v>12</v>
      </c>
    </row>
    <row r="62" ht="15.75" customHeight="1">
      <c r="A62" s="6" t="s">
        <v>373</v>
      </c>
      <c r="B62" s="6" t="s">
        <v>23</v>
      </c>
      <c r="C62" s="6" t="s">
        <v>24</v>
      </c>
    </row>
    <row r="63" ht="15.75" customHeight="1"/>
    <row r="64" ht="15.75" customHeight="1">
      <c r="A64" s="7" t="s">
        <v>92</v>
      </c>
    </row>
    <row r="65" ht="15.75" customHeight="1">
      <c r="A65" s="6" t="s">
        <v>269</v>
      </c>
      <c r="B65" s="6" t="s">
        <v>270</v>
      </c>
      <c r="C65" s="6" t="s">
        <v>271</v>
      </c>
    </row>
    <row r="66" ht="15.75" customHeight="1">
      <c r="A66" s="6" t="s">
        <v>374</v>
      </c>
      <c r="B66" s="6" t="s">
        <v>6</v>
      </c>
      <c r="C66" s="6" t="s">
        <v>7</v>
      </c>
    </row>
    <row r="67" ht="15.75" customHeight="1">
      <c r="A67" s="6" t="s">
        <v>375</v>
      </c>
      <c r="B67" s="6" t="s">
        <v>9</v>
      </c>
      <c r="C67" s="6" t="s">
        <v>10</v>
      </c>
    </row>
    <row r="68" ht="15.75" customHeight="1">
      <c r="A68" s="6" t="s">
        <v>376</v>
      </c>
      <c r="B68" s="6" t="s">
        <v>12</v>
      </c>
      <c r="C68" s="6" t="s">
        <v>12</v>
      </c>
    </row>
    <row r="69" ht="15.75" customHeight="1">
      <c r="A69" s="6" t="s">
        <v>377</v>
      </c>
      <c r="B69" s="6" t="s">
        <v>14</v>
      </c>
      <c r="C69" s="6" t="s">
        <v>15</v>
      </c>
    </row>
    <row r="70" ht="15.75" customHeight="1">
      <c r="A70" s="6" t="s">
        <v>378</v>
      </c>
      <c r="B70" s="6" t="s">
        <v>17</v>
      </c>
      <c r="C70" s="6" t="s">
        <v>35</v>
      </c>
    </row>
    <row r="71" ht="15.75" customHeight="1">
      <c r="A71" s="6" t="s">
        <v>379</v>
      </c>
      <c r="B71" s="6" t="s">
        <v>20</v>
      </c>
      <c r="C71" s="6" t="s">
        <v>21</v>
      </c>
    </row>
    <row r="72" ht="15.75" customHeight="1">
      <c r="A72" s="6" t="s">
        <v>380</v>
      </c>
      <c r="B72" s="6" t="s">
        <v>23</v>
      </c>
      <c r="C72" s="6" t="s">
        <v>24</v>
      </c>
    </row>
    <row r="73" ht="15.75" customHeight="1"/>
    <row r="74" ht="15.75" customHeight="1">
      <c r="A74" s="7" t="s">
        <v>93</v>
      </c>
    </row>
    <row r="75" ht="15.75" customHeight="1">
      <c r="A75" s="6" t="s">
        <v>269</v>
      </c>
      <c r="B75" s="6" t="s">
        <v>270</v>
      </c>
      <c r="C75" s="6" t="s">
        <v>271</v>
      </c>
    </row>
    <row r="76" ht="15.75" customHeight="1">
      <c r="A76" s="6" t="s">
        <v>272</v>
      </c>
      <c r="B76" s="6" t="s">
        <v>30</v>
      </c>
      <c r="C76" s="6" t="s">
        <v>7</v>
      </c>
    </row>
    <row r="77" ht="15.75" customHeight="1">
      <c r="A77" s="6" t="s">
        <v>381</v>
      </c>
      <c r="B77" s="6" t="s">
        <v>341</v>
      </c>
      <c r="C77" s="6" t="s">
        <v>12</v>
      </c>
    </row>
    <row r="78" ht="15.75" customHeight="1">
      <c r="A78" s="6" t="s">
        <v>382</v>
      </c>
      <c r="B78" s="6" t="s">
        <v>214</v>
      </c>
      <c r="C78" s="6" t="s">
        <v>35</v>
      </c>
    </row>
    <row r="79" ht="15.75" customHeight="1">
      <c r="A79" s="6" t="s">
        <v>383</v>
      </c>
      <c r="B79" s="6" t="s">
        <v>216</v>
      </c>
      <c r="C79" s="6" t="s">
        <v>18</v>
      </c>
    </row>
    <row r="80" ht="15.75" customHeight="1">
      <c r="A80" s="6" t="s">
        <v>384</v>
      </c>
      <c r="B80" s="6" t="s">
        <v>23</v>
      </c>
      <c r="C80" s="6" t="s">
        <v>24</v>
      </c>
    </row>
    <row r="81" ht="15.75" customHeight="1"/>
    <row r="82" ht="15.75" customHeight="1">
      <c r="A82" s="7" t="s">
        <v>101</v>
      </c>
    </row>
    <row r="83" ht="15.75" customHeight="1">
      <c r="A83" s="6" t="s">
        <v>269</v>
      </c>
      <c r="B83" s="6" t="s">
        <v>270</v>
      </c>
      <c r="C83" s="6" t="s">
        <v>271</v>
      </c>
    </row>
    <row r="84" ht="15.75" customHeight="1">
      <c r="A84" s="6" t="s">
        <v>282</v>
      </c>
      <c r="B84" s="6" t="s">
        <v>6</v>
      </c>
      <c r="C84" s="6" t="s">
        <v>7</v>
      </c>
    </row>
    <row r="85" ht="15.75" customHeight="1">
      <c r="A85" s="6" t="s">
        <v>385</v>
      </c>
      <c r="B85" s="6" t="s">
        <v>294</v>
      </c>
      <c r="C85" s="6" t="s">
        <v>10</v>
      </c>
    </row>
    <row r="86" ht="15.75" customHeight="1">
      <c r="A86" s="6" t="s">
        <v>386</v>
      </c>
      <c r="B86" s="6" t="s">
        <v>365</v>
      </c>
      <c r="C86" s="6" t="s">
        <v>35</v>
      </c>
    </row>
    <row r="87" ht="15.75" customHeight="1">
      <c r="A87" s="6" t="s">
        <v>387</v>
      </c>
      <c r="B87" s="6" t="s">
        <v>20</v>
      </c>
      <c r="C87" s="6" t="s">
        <v>21</v>
      </c>
    </row>
    <row r="88" ht="15.75" customHeight="1">
      <c r="A88" s="6" t="s">
        <v>388</v>
      </c>
      <c r="B88" s="6" t="s">
        <v>262</v>
      </c>
      <c r="C88" s="6" t="s">
        <v>12</v>
      </c>
    </row>
    <row r="89" ht="15.75" customHeight="1">
      <c r="A89" s="6" t="s">
        <v>389</v>
      </c>
      <c r="B89" s="6" t="s">
        <v>99</v>
      </c>
      <c r="C89" s="6" t="s">
        <v>54</v>
      </c>
    </row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9.14"/>
    <col customWidth="1" min="2" max="2" width="142.57"/>
    <col customWidth="1" min="3" max="3" width="31.0"/>
    <col customWidth="1" min="4" max="26" width="8.71"/>
  </cols>
  <sheetData>
    <row r="1">
      <c r="A1" s="1" t="s">
        <v>332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>
        <f>IFERROR(__xludf.DUMMYFUNCTION("LET(
runCol,$A$1:$A$300,
runRows,FILTER(ROW(runCol),ISNUMBER(SEARCH(""Run "",runCol))),
lastUsed,MAX(FILTER(ROW(runCol),runCol&lt;&gt;"""")),
BYROW(runRows,LAMBDA(r,
  LET(
    k,XMATCH(r,runRows),
    nextRun,IFERROR(INDEX(runRows,k+1),lastUsed+1),
    rng,IND"&amp;"EX($B:$B,r+2):INDEX($B:$B,nextRun-1),
    SUMPRODUCT((rng&lt;&gt;"""")*(LEFT(TRIM(rng),1)&lt;&gt;""-""))
  )
))
)"),4.0)</f>
        <v>4</v>
      </c>
      <c r="O1" s="4"/>
      <c r="P1" s="4"/>
      <c r="Q1" s="4">
        <f>IFERROR(__xludf.DUMMYFUNCTION("LET(
runCol,$A$1:$A$300,
runRows,FILTER(ROW(runCol),ISNUMBER(SEARCH(""Run "",runCol))),
lastUsed,MAX(FILTER(ROW(runCol),runCol&lt;&gt;"""")),
x,BYROW(runRows,LAMBDA(r,
  LET(
    k,XMATCH(r,runRows),
    nextRun,IFERROR(INDEX(runRows,k+1),lastUsed+1),
    rng,I"&amp;"NDEX($B:$B,r+2):INDEX($B:$B,nextRun-1),
    SUMPRODUCT((rng&lt;&gt;"""")*(LEFT(TRIM(rng),1)&lt;&gt;""-""))
  )
)),
HSTACK(AVERAGE(x),STDEV.S(x))
)"),6.9)</f>
        <v>6.9</v>
      </c>
      <c r="R1" s="4">
        <f>IFERROR(__xludf.DUMMYFUNCTION("""COMPUTED_VALUE"""),2.960855732160327)</f>
        <v>2.960855732</v>
      </c>
      <c r="S1" s="4"/>
      <c r="T1" s="4"/>
      <c r="U1" s="4"/>
      <c r="V1" s="4"/>
      <c r="W1" s="4"/>
      <c r="X1" s="4"/>
      <c r="Y1" s="4"/>
      <c r="Z1" s="4"/>
    </row>
    <row r="2">
      <c r="N2" s="6">
        <f>IFERROR(__xludf.DUMMYFUNCTION("""COMPUTED_VALUE"""),5.0)</f>
        <v>5</v>
      </c>
      <c r="T2" s="6">
        <f>IFERROR(__xludf.DUMMYFUNCTION("LET(
expected,{
""Business Stakeholder"";
""Business Analyst"";
""Domain Expert"";
""Data Scientist"";
""Data Engineer"";
""Data Steward"";
""Scientist"";
""ML Engineer / Developer"";
""Solution Architect"";
""Software Engineer"";
""Software Developer"";
"&amp;"""Application Developer"";
""DevOps Engineer"";
""MLOps Engineer"";
""Operations Engineer"";
""IT Operations / Professional""
},
norm,LAMBDA(t,LOWER(TRIM(SUBSTITUTE(SUBSTITUTE(SUBSTITUTE(SUBSTITUTE(SUBSTITUTE(SUBSTITUTE(SUBSTITUTE(t,CHAR(10),"",""),"";"","&amp;""",""),""|"","",""),""•"","",""),"" / "",""/""),"" /"",""/""),""/ "",""/"")))),
expNorm,MAP(expected,norm),
runCol,$A$1:$A$300,
runRows,FILTER(ROW(runCol),ISNUMBER(SEARCH(""Run "",runCol))),
lastUsed,MAX(FILTER(ROW(runCol),runCol&lt;&gt;"""")),
BYROW(runRows,LA"&amp;"MBDA(r,
  LET(
    k,XMATCH(r,runRows),
    nextRun,IFERROR(INDEX(runRows,k+1),lastUsed+1),
    rng,INDEX($B:$B,r+2):INDEX($B:$B,nextRun-1),
    txt,"","" &amp; norm(TEXTJOIN("","",TRUE,rng)) &amp; "","",
    occ,MAP(expNorm,LAMBDA(a,(LEN(txt)-LEN(SUBSTITUTE(txt,"&amp;""",""&amp;a&amp;"","","""")))/LEN("",""&amp;a&amp;"",""))),
    SUM(MAP(occ,LAMBDA(n,MAX(n-1,0))))
  )
))
)"),0.0)</f>
        <v>0</v>
      </c>
    </row>
    <row r="3">
      <c r="A3" s="7" t="s">
        <v>1</v>
      </c>
      <c r="N3" s="6">
        <f>IFERROR(__xludf.DUMMYFUNCTION("""COMPUTED_VALUE"""),4.0)</f>
        <v>4</v>
      </c>
      <c r="T3" s="6">
        <f>IFERROR(__xludf.DUMMYFUNCTION("""COMPUTED_VALUE"""),0.0)</f>
        <v>0</v>
      </c>
    </row>
    <row r="4">
      <c r="A4" s="6" t="s">
        <v>269</v>
      </c>
      <c r="B4" s="6" t="s">
        <v>270</v>
      </c>
      <c r="C4" s="6" t="s">
        <v>271</v>
      </c>
      <c r="N4" s="6">
        <f>IFERROR(__xludf.DUMMYFUNCTION("""COMPUTED_VALUE"""),11.0)</f>
        <v>11</v>
      </c>
      <c r="T4" s="6">
        <f>IFERROR(__xludf.DUMMYFUNCTION("""COMPUTED_VALUE"""),0.0)</f>
        <v>0</v>
      </c>
    </row>
    <row r="5">
      <c r="A5" s="6" t="s">
        <v>390</v>
      </c>
      <c r="B5" s="6" t="s">
        <v>391</v>
      </c>
      <c r="C5" s="6" t="s">
        <v>392</v>
      </c>
      <c r="N5" s="6">
        <f>IFERROR(__xludf.DUMMYFUNCTION("""COMPUTED_VALUE"""),7.0)</f>
        <v>7</v>
      </c>
      <c r="T5" s="6">
        <f>IFERROR(__xludf.DUMMYFUNCTION("""COMPUTED_VALUE"""),0.0)</f>
        <v>0</v>
      </c>
    </row>
    <row r="6">
      <c r="A6" s="6" t="s">
        <v>393</v>
      </c>
      <c r="B6" s="6" t="s">
        <v>394</v>
      </c>
      <c r="C6" s="6" t="s">
        <v>395</v>
      </c>
      <c r="N6" s="6">
        <f>IFERROR(__xludf.DUMMYFUNCTION("""COMPUTED_VALUE"""),11.0)</f>
        <v>11</v>
      </c>
      <c r="T6" s="6">
        <f>IFERROR(__xludf.DUMMYFUNCTION("""COMPUTED_VALUE"""),0.0)</f>
        <v>0</v>
      </c>
    </row>
    <row r="7">
      <c r="A7" s="6" t="s">
        <v>396</v>
      </c>
      <c r="B7" s="6" t="s">
        <v>397</v>
      </c>
      <c r="C7" s="6" t="s">
        <v>398</v>
      </c>
      <c r="N7" s="6">
        <f>IFERROR(__xludf.DUMMYFUNCTION("""COMPUTED_VALUE"""),6.0)</f>
        <v>6</v>
      </c>
      <c r="T7" s="6">
        <f>IFERROR(__xludf.DUMMYFUNCTION("""COMPUTED_VALUE"""),0.0)</f>
        <v>0</v>
      </c>
    </row>
    <row r="8">
      <c r="A8" s="6" t="s">
        <v>399</v>
      </c>
      <c r="B8" s="6" t="s">
        <v>400</v>
      </c>
      <c r="C8" s="6" t="s">
        <v>401</v>
      </c>
      <c r="N8" s="6">
        <f>IFERROR(__xludf.DUMMYFUNCTION("""COMPUTED_VALUE"""),5.0)</f>
        <v>5</v>
      </c>
      <c r="T8" s="6">
        <f>IFERROR(__xludf.DUMMYFUNCTION("""COMPUTED_VALUE"""),0.0)</f>
        <v>0</v>
      </c>
    </row>
    <row r="9">
      <c r="N9" s="6">
        <f>IFERROR(__xludf.DUMMYFUNCTION("""COMPUTED_VALUE"""),5.0)</f>
        <v>5</v>
      </c>
      <c r="T9" s="6">
        <f>IFERROR(__xludf.DUMMYFUNCTION("""COMPUTED_VALUE"""),0.0)</f>
        <v>0</v>
      </c>
    </row>
    <row r="10">
      <c r="A10" s="7" t="s">
        <v>25</v>
      </c>
      <c r="N10" s="6">
        <f>IFERROR(__xludf.DUMMYFUNCTION("""COMPUTED_VALUE"""),11.0)</f>
        <v>11</v>
      </c>
      <c r="T10" s="6">
        <f>IFERROR(__xludf.DUMMYFUNCTION("""COMPUTED_VALUE"""),0.0)</f>
        <v>0</v>
      </c>
    </row>
    <row r="11">
      <c r="A11" s="6" t="s">
        <v>269</v>
      </c>
      <c r="B11" s="6" t="s">
        <v>270</v>
      </c>
      <c r="C11" s="6" t="s">
        <v>271</v>
      </c>
      <c r="T11" s="6">
        <f>IFERROR(__xludf.DUMMYFUNCTION("""COMPUTED_VALUE"""),0.0)</f>
        <v>0</v>
      </c>
    </row>
    <row r="12">
      <c r="A12" s="6" t="s">
        <v>402</v>
      </c>
      <c r="B12" s="6" t="s">
        <v>403</v>
      </c>
      <c r="C12" s="6" t="s">
        <v>404</v>
      </c>
    </row>
    <row r="13">
      <c r="A13" s="6" t="s">
        <v>405</v>
      </c>
      <c r="B13" s="6" t="s">
        <v>406</v>
      </c>
      <c r="C13" s="6" t="s">
        <v>407</v>
      </c>
    </row>
    <row r="14">
      <c r="A14" s="6" t="s">
        <v>408</v>
      </c>
      <c r="B14" s="6" t="s">
        <v>409</v>
      </c>
      <c r="C14" s="6" t="s">
        <v>410</v>
      </c>
    </row>
    <row r="15">
      <c r="A15" s="6" t="s">
        <v>411</v>
      </c>
      <c r="B15" s="6" t="s">
        <v>397</v>
      </c>
      <c r="C15" s="6" t="s">
        <v>412</v>
      </c>
    </row>
    <row r="16">
      <c r="A16" s="6" t="s">
        <v>413</v>
      </c>
      <c r="B16" s="6" t="s">
        <v>400</v>
      </c>
      <c r="C16" s="6" t="s">
        <v>414</v>
      </c>
    </row>
    <row r="18">
      <c r="A18" s="7" t="s">
        <v>38</v>
      </c>
    </row>
    <row r="19">
      <c r="A19" s="6" t="s">
        <v>269</v>
      </c>
      <c r="B19" s="6" t="s">
        <v>270</v>
      </c>
      <c r="C19" s="6" t="s">
        <v>271</v>
      </c>
    </row>
    <row r="20">
      <c r="A20" s="6" t="s">
        <v>415</v>
      </c>
      <c r="B20" s="6" t="s">
        <v>416</v>
      </c>
      <c r="C20" s="6" t="s">
        <v>417</v>
      </c>
    </row>
    <row r="21" ht="15.75" customHeight="1">
      <c r="A21" s="6" t="s">
        <v>418</v>
      </c>
      <c r="B21" s="6" t="s">
        <v>214</v>
      </c>
      <c r="C21" s="6" t="s">
        <v>419</v>
      </c>
    </row>
    <row r="22" ht="15.75" customHeight="1">
      <c r="A22" s="6" t="s">
        <v>420</v>
      </c>
      <c r="B22" s="6" t="s">
        <v>216</v>
      </c>
      <c r="C22" s="6" t="s">
        <v>421</v>
      </c>
    </row>
    <row r="23" ht="15.75" customHeight="1">
      <c r="A23" s="6" t="s">
        <v>422</v>
      </c>
      <c r="B23" s="6" t="s">
        <v>423</v>
      </c>
      <c r="C23" s="6" t="s">
        <v>424</v>
      </c>
    </row>
    <row r="24" ht="15.75" customHeight="1"/>
    <row r="25" ht="15.75" customHeight="1">
      <c r="A25" s="7" t="s">
        <v>55</v>
      </c>
    </row>
    <row r="26" ht="15.75" customHeight="1">
      <c r="A26" s="6" t="s">
        <v>269</v>
      </c>
      <c r="B26" s="6" t="s">
        <v>270</v>
      </c>
      <c r="C26" s="6" t="s">
        <v>271</v>
      </c>
    </row>
    <row r="27" ht="15.75" customHeight="1">
      <c r="A27" s="6" t="s">
        <v>425</v>
      </c>
      <c r="B27" s="6" t="s">
        <v>239</v>
      </c>
      <c r="C27" s="6" t="s">
        <v>426</v>
      </c>
    </row>
    <row r="28" ht="15.75" customHeight="1">
      <c r="A28" s="6" t="s">
        <v>427</v>
      </c>
      <c r="B28" s="6" t="s">
        <v>428</v>
      </c>
      <c r="C28" s="6" t="s">
        <v>429</v>
      </c>
    </row>
    <row r="29" ht="15.75" customHeight="1">
      <c r="A29" s="6" t="s">
        <v>430</v>
      </c>
      <c r="B29" s="6" t="s">
        <v>14</v>
      </c>
      <c r="C29" s="6" t="s">
        <v>431</v>
      </c>
    </row>
    <row r="30" ht="15.75" customHeight="1">
      <c r="A30" s="6" t="s">
        <v>432</v>
      </c>
      <c r="B30" s="6" t="s">
        <v>216</v>
      </c>
      <c r="C30" s="6" t="s">
        <v>433</v>
      </c>
    </row>
    <row r="31" ht="15.75" customHeight="1">
      <c r="A31" s="6" t="s">
        <v>434</v>
      </c>
      <c r="B31" s="6" t="s">
        <v>23</v>
      </c>
      <c r="C31" s="6" t="s">
        <v>435</v>
      </c>
    </row>
    <row r="32" ht="15.75" customHeight="1">
      <c r="A32" s="6" t="s">
        <v>2</v>
      </c>
      <c r="B32" s="6" t="s">
        <v>436</v>
      </c>
    </row>
    <row r="33" ht="15.75" customHeight="1">
      <c r="A33" s="6" t="s">
        <v>426</v>
      </c>
      <c r="B33" s="6" t="s">
        <v>437</v>
      </c>
    </row>
    <row r="34" ht="15.75" customHeight="1">
      <c r="A34" s="6" t="s">
        <v>429</v>
      </c>
      <c r="B34" s="6" t="s">
        <v>438</v>
      </c>
    </row>
    <row r="35" ht="15.75" customHeight="1">
      <c r="A35" s="6" t="s">
        <v>431</v>
      </c>
      <c r="B35" s="6" t="s">
        <v>439</v>
      </c>
    </row>
    <row r="36" ht="15.75" customHeight="1">
      <c r="A36" s="6" t="s">
        <v>433</v>
      </c>
      <c r="B36" s="6" t="s">
        <v>440</v>
      </c>
    </row>
    <row r="37" ht="15.75" customHeight="1">
      <c r="A37" s="6" t="s">
        <v>435</v>
      </c>
      <c r="B37" s="6" t="s">
        <v>441</v>
      </c>
    </row>
    <row r="38" ht="15.75" customHeight="1"/>
    <row r="39" ht="15.75" customHeight="1">
      <c r="A39" s="7" t="s">
        <v>70</v>
      </c>
    </row>
    <row r="40" ht="15.75" customHeight="1">
      <c r="A40" s="6" t="s">
        <v>269</v>
      </c>
      <c r="B40" s="6" t="s">
        <v>270</v>
      </c>
      <c r="C40" s="6" t="s">
        <v>271</v>
      </c>
    </row>
    <row r="41" ht="15.75" customHeight="1">
      <c r="A41" s="6" t="s">
        <v>442</v>
      </c>
      <c r="B41" s="6" t="s">
        <v>30</v>
      </c>
      <c r="C41" s="6" t="s">
        <v>7</v>
      </c>
    </row>
    <row r="42" ht="15.75" customHeight="1">
      <c r="A42" s="6" t="s">
        <v>443</v>
      </c>
      <c r="B42" s="6" t="s">
        <v>12</v>
      </c>
      <c r="C42" s="6" t="s">
        <v>12</v>
      </c>
    </row>
    <row r="43" ht="15.75" customHeight="1">
      <c r="A43" s="6" t="s">
        <v>444</v>
      </c>
      <c r="B43" s="6" t="s">
        <v>14</v>
      </c>
      <c r="C43" s="6" t="s">
        <v>15</v>
      </c>
    </row>
    <row r="44" ht="15.75" customHeight="1">
      <c r="A44" s="6" t="s">
        <v>445</v>
      </c>
      <c r="B44" s="6" t="s">
        <v>73</v>
      </c>
      <c r="C44" s="6" t="s">
        <v>35</v>
      </c>
    </row>
    <row r="45" ht="15.75" customHeight="1">
      <c r="A45" s="6" t="s">
        <v>446</v>
      </c>
      <c r="B45" s="6" t="s">
        <v>447</v>
      </c>
      <c r="C45" s="6" t="s">
        <v>21</v>
      </c>
    </row>
    <row r="46" ht="15.75" customHeight="1">
      <c r="A46" s="6" t="s">
        <v>448</v>
      </c>
      <c r="B46" s="6" t="s">
        <v>449</v>
      </c>
      <c r="C46" s="6" t="s">
        <v>24</v>
      </c>
    </row>
    <row r="47" ht="15.75" customHeight="1">
      <c r="A47" s="6" t="s">
        <v>450</v>
      </c>
      <c r="B47" s="6" t="s">
        <v>320</v>
      </c>
      <c r="C47" s="6" t="s">
        <v>321</v>
      </c>
    </row>
    <row r="48" ht="15.75" customHeight="1"/>
    <row r="49" ht="15.75" customHeight="1">
      <c r="A49" s="7" t="s">
        <v>77</v>
      </c>
    </row>
    <row r="50" ht="15.75" customHeight="1">
      <c r="A50" s="6" t="s">
        <v>269</v>
      </c>
      <c r="B50" s="6" t="s">
        <v>270</v>
      </c>
      <c r="C50" s="6" t="s">
        <v>271</v>
      </c>
    </row>
    <row r="51" ht="15.75" customHeight="1">
      <c r="A51" s="6" t="s">
        <v>451</v>
      </c>
      <c r="B51" s="6" t="s">
        <v>30</v>
      </c>
      <c r="C51" s="6" t="s">
        <v>452</v>
      </c>
    </row>
    <row r="52" ht="15.75" customHeight="1">
      <c r="A52" s="6" t="s">
        <v>453</v>
      </c>
      <c r="B52" s="6" t="s">
        <v>12</v>
      </c>
      <c r="C52" s="6" t="s">
        <v>426</v>
      </c>
    </row>
    <row r="53" ht="15.75" customHeight="1">
      <c r="A53" s="6" t="s">
        <v>454</v>
      </c>
      <c r="B53" s="6" t="s">
        <v>214</v>
      </c>
      <c r="C53" s="6" t="s">
        <v>429</v>
      </c>
    </row>
    <row r="54" ht="15.75" customHeight="1">
      <c r="A54" s="6" t="s">
        <v>455</v>
      </c>
      <c r="B54" s="6" t="s">
        <v>216</v>
      </c>
      <c r="C54" s="6" t="s">
        <v>433</v>
      </c>
    </row>
    <row r="55" ht="15.75" customHeight="1">
      <c r="A55" s="6" t="s">
        <v>456</v>
      </c>
      <c r="B55" s="6" t="s">
        <v>23</v>
      </c>
      <c r="C55" s="6" t="s">
        <v>435</v>
      </c>
    </row>
    <row r="56" ht="15.75" customHeight="1">
      <c r="A56" s="6" t="s">
        <v>2</v>
      </c>
      <c r="B56" s="6" t="s">
        <v>457</v>
      </c>
    </row>
    <row r="57" ht="15.75" customHeight="1">
      <c r="A57" s="6" t="s">
        <v>7</v>
      </c>
      <c r="B57" s="6" t="s">
        <v>458</v>
      </c>
    </row>
    <row r="58" ht="15.75" customHeight="1">
      <c r="A58" s="6" t="s">
        <v>12</v>
      </c>
      <c r="B58" s="6" t="s">
        <v>459</v>
      </c>
    </row>
    <row r="59" ht="15.75" customHeight="1">
      <c r="A59" s="6" t="s">
        <v>35</v>
      </c>
      <c r="B59" s="6" t="s">
        <v>460</v>
      </c>
    </row>
    <row r="60" ht="15.75" customHeight="1">
      <c r="A60" s="6" t="s">
        <v>18</v>
      </c>
      <c r="B60" s="6" t="s">
        <v>461</v>
      </c>
    </row>
    <row r="61" ht="15.75" customHeight="1">
      <c r="A61" s="6" t="s">
        <v>24</v>
      </c>
      <c r="B61" s="6" t="s">
        <v>462</v>
      </c>
    </row>
    <row r="62" ht="15.75" customHeight="1"/>
    <row r="63" ht="14.25" customHeight="1">
      <c r="A63" s="7" t="s">
        <v>84</v>
      </c>
    </row>
    <row r="64" ht="15.75" customHeight="1">
      <c r="A64" s="6" t="s">
        <v>269</v>
      </c>
      <c r="B64" s="6" t="s">
        <v>270</v>
      </c>
      <c r="C64" s="6" t="s">
        <v>271</v>
      </c>
    </row>
    <row r="65" ht="15.75" customHeight="1">
      <c r="A65" s="6" t="s">
        <v>463</v>
      </c>
      <c r="B65" s="6" t="s">
        <v>30</v>
      </c>
      <c r="C65" s="6" t="s">
        <v>7</v>
      </c>
    </row>
    <row r="66" ht="15.75" customHeight="1">
      <c r="A66" s="6" t="s">
        <v>464</v>
      </c>
      <c r="B66" s="6" t="s">
        <v>12</v>
      </c>
      <c r="C66" s="6" t="s">
        <v>12</v>
      </c>
    </row>
    <row r="67" ht="15.75" customHeight="1">
      <c r="A67" s="6" t="s">
        <v>465</v>
      </c>
      <c r="B67" s="6" t="s">
        <v>14</v>
      </c>
      <c r="C67" s="6" t="s">
        <v>163</v>
      </c>
    </row>
    <row r="68" ht="15.75" customHeight="1">
      <c r="A68" s="6" t="s">
        <v>466</v>
      </c>
      <c r="B68" s="6" t="s">
        <v>73</v>
      </c>
      <c r="C68" s="6" t="s">
        <v>35</v>
      </c>
    </row>
    <row r="69" ht="15.75" customHeight="1">
      <c r="A69" s="6" t="s">
        <v>467</v>
      </c>
      <c r="B69" s="6" t="s">
        <v>216</v>
      </c>
      <c r="C69" s="6" t="s">
        <v>18</v>
      </c>
    </row>
    <row r="70" ht="15.75" customHeight="1">
      <c r="A70" s="6" t="s">
        <v>468</v>
      </c>
      <c r="B70" s="6" t="s">
        <v>23</v>
      </c>
      <c r="C70" s="6" t="s">
        <v>24</v>
      </c>
    </row>
    <row r="71" ht="15.75" customHeight="1"/>
    <row r="72" ht="15.75" customHeight="1">
      <c r="A72" s="7" t="s">
        <v>92</v>
      </c>
    </row>
    <row r="73" ht="15.75" customHeight="1">
      <c r="A73" s="6" t="s">
        <v>269</v>
      </c>
      <c r="B73" s="6" t="s">
        <v>270</v>
      </c>
      <c r="C73" s="6" t="s">
        <v>271</v>
      </c>
    </row>
    <row r="74" ht="15.75" customHeight="1">
      <c r="A74" s="6" t="s">
        <v>469</v>
      </c>
      <c r="B74" s="6" t="s">
        <v>30</v>
      </c>
      <c r="C74" s="6" t="s">
        <v>470</v>
      </c>
    </row>
    <row r="75" ht="15.75" customHeight="1">
      <c r="A75" s="6" t="s">
        <v>471</v>
      </c>
      <c r="B75" s="6" t="s">
        <v>341</v>
      </c>
      <c r="C75" s="6" t="s">
        <v>472</v>
      </c>
    </row>
    <row r="76" ht="15.75" customHeight="1">
      <c r="A76" s="6" t="s">
        <v>473</v>
      </c>
      <c r="B76" s="6" t="s">
        <v>474</v>
      </c>
      <c r="C76" s="6" t="s">
        <v>475</v>
      </c>
    </row>
    <row r="77" ht="15.75" customHeight="1">
      <c r="A77" s="6" t="s">
        <v>476</v>
      </c>
      <c r="B77" s="6" t="s">
        <v>216</v>
      </c>
      <c r="C77" s="6" t="s">
        <v>477</v>
      </c>
    </row>
    <row r="78" ht="15.75" customHeight="1">
      <c r="A78" s="6" t="s">
        <v>478</v>
      </c>
      <c r="B78" s="6" t="s">
        <v>23</v>
      </c>
      <c r="C78" s="6" t="s">
        <v>401</v>
      </c>
    </row>
    <row r="79" ht="15.75" customHeight="1"/>
    <row r="80" ht="16.5" customHeight="1">
      <c r="A80" s="7" t="s">
        <v>93</v>
      </c>
    </row>
    <row r="81" ht="15.75" customHeight="1">
      <c r="A81" s="6" t="s">
        <v>269</v>
      </c>
      <c r="B81" s="6" t="s">
        <v>270</v>
      </c>
      <c r="C81" s="6" t="s">
        <v>271</v>
      </c>
    </row>
    <row r="82" ht="15.75" customHeight="1">
      <c r="A82" s="6" t="s">
        <v>479</v>
      </c>
      <c r="B82" s="6" t="s">
        <v>480</v>
      </c>
      <c r="C82" s="6" t="s">
        <v>481</v>
      </c>
    </row>
    <row r="83" ht="15.75" customHeight="1">
      <c r="A83" s="6" t="s">
        <v>482</v>
      </c>
      <c r="B83" s="6" t="s">
        <v>483</v>
      </c>
      <c r="C83" s="6" t="s">
        <v>484</v>
      </c>
    </row>
    <row r="84" ht="15.75" customHeight="1">
      <c r="A84" s="6" t="s">
        <v>485</v>
      </c>
      <c r="B84" s="6" t="s">
        <v>394</v>
      </c>
      <c r="C84" s="6" t="s">
        <v>486</v>
      </c>
    </row>
    <row r="85" ht="15.75" customHeight="1">
      <c r="A85" s="6" t="s">
        <v>487</v>
      </c>
      <c r="B85" s="6" t="s">
        <v>397</v>
      </c>
      <c r="C85" s="6" t="s">
        <v>488</v>
      </c>
    </row>
    <row r="86" ht="15.75" customHeight="1">
      <c r="A86" s="6" t="s">
        <v>489</v>
      </c>
      <c r="B86" s="6" t="s">
        <v>400</v>
      </c>
      <c r="C86" s="6" t="s">
        <v>490</v>
      </c>
    </row>
    <row r="87" ht="15.75" customHeight="1"/>
    <row r="88" ht="15.75" customHeight="1">
      <c r="A88" s="7" t="s">
        <v>101</v>
      </c>
    </row>
    <row r="89" ht="15.75" customHeight="1">
      <c r="A89" s="6" t="s">
        <v>269</v>
      </c>
      <c r="B89" s="6" t="s">
        <v>270</v>
      </c>
      <c r="C89" s="6" t="s">
        <v>271</v>
      </c>
    </row>
    <row r="90" ht="15.75" customHeight="1">
      <c r="A90" s="6" t="s">
        <v>491</v>
      </c>
      <c r="B90" s="6" t="s">
        <v>30</v>
      </c>
      <c r="C90" s="6" t="s">
        <v>492</v>
      </c>
    </row>
    <row r="91" ht="15.75" customHeight="1">
      <c r="A91" s="6" t="s">
        <v>493</v>
      </c>
      <c r="B91" s="6" t="s">
        <v>12</v>
      </c>
      <c r="C91" s="6" t="s">
        <v>426</v>
      </c>
    </row>
    <row r="92" ht="15.75" customHeight="1">
      <c r="A92" s="6" t="s">
        <v>494</v>
      </c>
      <c r="B92" s="6" t="s">
        <v>214</v>
      </c>
      <c r="C92" s="6" t="s">
        <v>429</v>
      </c>
    </row>
    <row r="93" ht="15.75" customHeight="1">
      <c r="A93" s="6" t="s">
        <v>495</v>
      </c>
      <c r="B93" s="6" t="s">
        <v>447</v>
      </c>
      <c r="C93" s="6" t="s">
        <v>433</v>
      </c>
    </row>
    <row r="94" ht="15.75" customHeight="1">
      <c r="A94" s="6" t="s">
        <v>496</v>
      </c>
      <c r="B94" s="6" t="s">
        <v>23</v>
      </c>
      <c r="C94" s="6" t="s">
        <v>435</v>
      </c>
    </row>
    <row r="95" ht="15.75" customHeight="1">
      <c r="A95" s="6" t="s">
        <v>497</v>
      </c>
      <c r="B95" s="6" t="s">
        <v>498</v>
      </c>
    </row>
    <row r="96" ht="15.75" customHeight="1">
      <c r="A96" s="6" t="s">
        <v>492</v>
      </c>
      <c r="B96" s="6" t="s">
        <v>499</v>
      </c>
    </row>
    <row r="97" ht="15.75" customHeight="1">
      <c r="A97" s="6" t="s">
        <v>426</v>
      </c>
      <c r="B97" s="6" t="s">
        <v>500</v>
      </c>
    </row>
    <row r="98" ht="15.75" customHeight="1">
      <c r="A98" s="6" t="s">
        <v>429</v>
      </c>
      <c r="B98" s="6" t="s">
        <v>501</v>
      </c>
    </row>
    <row r="99" ht="15.75" customHeight="1">
      <c r="A99" s="6" t="s">
        <v>433</v>
      </c>
      <c r="B99" s="6" t="s">
        <v>502</v>
      </c>
    </row>
    <row r="100" ht="15.75" customHeight="1">
      <c r="A100" s="6" t="s">
        <v>435</v>
      </c>
      <c r="B100" s="6" t="s">
        <v>503</v>
      </c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6.43"/>
    <col customWidth="1" min="2" max="2" width="153.14"/>
    <col customWidth="1" min="3" max="3" width="27.29"/>
    <col customWidth="1" min="4" max="26" width="8.71"/>
  </cols>
  <sheetData>
    <row r="1">
      <c r="A1" s="1" t="s">
        <v>504</v>
      </c>
      <c r="B1" s="2"/>
      <c r="C1" s="2"/>
      <c r="D1" s="2"/>
      <c r="E1" s="2"/>
      <c r="F1" s="3"/>
      <c r="G1" s="4"/>
      <c r="H1" s="4"/>
      <c r="I1" s="4"/>
      <c r="J1" s="4"/>
      <c r="K1" s="4"/>
      <c r="L1" s="4">
        <f>IFERROR(__xludf.DUMMYFUNCTION("LET(
runCol,$A$1:$A$300,
runRows,FILTER(ROW(runCol),ISNUMBER(SEARCH(""Run "",runCol))),
lastUsed,MAX(FILTER(ROW(runCol),runCol&lt;&gt;"""")),
BYROW(runRows,LAMBDA(r,
  LET(
    k,XMATCH(r,runRows),
    nextRun,IFERROR(INDEX(runRows,k+1),lastUsed+1),
    rng,IND"&amp;"EX($B:$B,r+2):INDEX($B:$B,nextRun-1),
    SUMPRODUCT((rng&lt;&gt;"""")*(LEFT(TRIM(rng),1)&lt;&gt;""-""))
  )
))
)"),3.0)</f>
        <v>3</v>
      </c>
      <c r="M1" s="4"/>
      <c r="N1" s="4">
        <f>IFERROR(__xludf.DUMMYFUNCTION("LET(
runCol,$A$1:$A$290,
runRows,FILTER(ROW(runCol),ISNUMBER(SEARCH(""Run "",runCol))),
lastUsed,MAX(FILTER(ROW(runCol),runCol&lt;&gt;"""")),
x,BYROW(runRows,LAMBDA(r,
  LET(
    k,XMATCH(r,runRows),
    nextRun,IFERROR(INDEX(runRows,k+1),lastUsed+1),
    rng,I"&amp;"NDEX($B:$B,r+2):INDEX($B:$B,nextRun-1),
    SUMPRODUCT((rng&lt;&gt;"""")*(LEFT(TRIM(rng),1)&lt;&gt;""-""))
  )
)),
HSTACK(AVERAGE(x),STDEV.S(x))
)"),3.1)</f>
        <v>3.1</v>
      </c>
      <c r="O1" s="4">
        <f>IFERROR(__xludf.DUMMYFUNCTION("""COMPUTED_VALUE"""),0.316227766016838)</f>
        <v>0.316227766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L2" s="6">
        <f>IFERROR(__xludf.DUMMYFUNCTION("""COMPUTED_VALUE"""),3.0)</f>
        <v>3</v>
      </c>
      <c r="S2" s="6">
        <f>IFERROR(__xludf.DUMMYFUNCTION("LET(
expected,{
""Business Stakeholder"";
""Business Analyst"";
""Domain Expert"";
""Data Scientist"";
""Data Engineer"";
""Data Steward"";
""Scientist"";
""ML Engineer / Developer"";
""Solution Architect"";
""Software Engineer"";
""Software Developer"";
"&amp;"""Application Developer"";
""DevOps Engineer"";
""MLOps Engineer"";
""Operations Engineer"";
""IT Operations / Professional""
},
norm,LAMBDA(t,LOWER(TRIM(SUBSTITUTE(SUBSTITUTE(SUBSTITUTE(SUBSTITUTE(SUBSTITUTE(SUBSTITUTE(SUBSTITUTE(t,CHAR(10),"",""),"";"","&amp;""",""),""|"","",""),""•"","",""),"" / "",""/""),"" /"",""/""),""/ "",""/"")))),
expNorm,MAP(expected,norm),
runCol,$A$1:$A$300,
runRows,FILTER(ROW(runCol),ISNUMBER(SEARCH(""Run "",runCol))),
lastUsed,MAX(FILTER(ROW(runCol),runCol&lt;&gt;"""")),
BYROW(runRows,LA"&amp;"MBDA(r,
  LET(
    k,XMATCH(r,runRows),
    nextRun,IFERROR(INDEX(runRows,k+1),lastUsed+1),
    rng,INDEX($B:$B,r+2):INDEX($B:$B,nextRun-1),
    txt,"","" &amp; norm(TEXTJOIN("","",TRUE,rng)) &amp; "","",
    occ,MAP(expNorm,LAMBDA(a,(LEN(txt)-LEN(SUBSTITUTE(txt,"&amp;""",""&amp;a&amp;"","","""")))/LEN("",""&amp;a&amp;"",""))),
    SUM(MAP(occ,LAMBDA(n,MAX(n-1,0))))
  )
))
)"),0.0)</f>
        <v>0</v>
      </c>
    </row>
    <row r="3">
      <c r="A3" s="7" t="s">
        <v>1</v>
      </c>
      <c r="L3" s="6">
        <f>IFERROR(__xludf.DUMMYFUNCTION("""COMPUTED_VALUE"""),3.0)</f>
        <v>3</v>
      </c>
      <c r="S3" s="6">
        <f>IFERROR(__xludf.DUMMYFUNCTION("""COMPUTED_VALUE"""),0.0)</f>
        <v>0</v>
      </c>
    </row>
    <row r="4">
      <c r="A4" s="6" t="s">
        <v>2</v>
      </c>
      <c r="B4" s="6" t="s">
        <v>3</v>
      </c>
      <c r="C4" s="6" t="s">
        <v>4</v>
      </c>
      <c r="L4" s="6">
        <f>IFERROR(__xludf.DUMMYFUNCTION("""COMPUTED_VALUE"""),3.0)</f>
        <v>3</v>
      </c>
      <c r="S4" s="6">
        <f>IFERROR(__xludf.DUMMYFUNCTION("""COMPUTED_VALUE"""),0.0)</f>
        <v>0</v>
      </c>
    </row>
    <row r="5">
      <c r="A5" s="6" t="s">
        <v>505</v>
      </c>
      <c r="B5" s="6" t="s">
        <v>506</v>
      </c>
      <c r="C5" s="6" t="s">
        <v>507</v>
      </c>
      <c r="L5" s="6">
        <f>IFERROR(__xludf.DUMMYFUNCTION("""COMPUTED_VALUE"""),4.0)</f>
        <v>4</v>
      </c>
      <c r="S5" s="6">
        <f>IFERROR(__xludf.DUMMYFUNCTION("""COMPUTED_VALUE"""),0.0)</f>
        <v>0</v>
      </c>
    </row>
    <row r="6">
      <c r="A6" s="6" t="s">
        <v>508</v>
      </c>
      <c r="B6" s="6" t="s">
        <v>509</v>
      </c>
      <c r="C6" s="6" t="s">
        <v>510</v>
      </c>
      <c r="L6" s="6">
        <f>IFERROR(__xludf.DUMMYFUNCTION("""COMPUTED_VALUE"""),3.0)</f>
        <v>3</v>
      </c>
      <c r="S6" s="6">
        <f>IFERROR(__xludf.DUMMYFUNCTION("""COMPUTED_VALUE"""),0.0)</f>
        <v>0</v>
      </c>
    </row>
    <row r="7">
      <c r="A7" s="6" t="s">
        <v>511</v>
      </c>
      <c r="B7" s="6" t="s">
        <v>512</v>
      </c>
      <c r="C7" s="6" t="s">
        <v>513</v>
      </c>
      <c r="L7" s="6">
        <f>IFERROR(__xludf.DUMMYFUNCTION("""COMPUTED_VALUE"""),3.0)</f>
        <v>3</v>
      </c>
      <c r="S7" s="6">
        <f>IFERROR(__xludf.DUMMYFUNCTION("""COMPUTED_VALUE"""),0.0)</f>
        <v>0</v>
      </c>
    </row>
    <row r="8">
      <c r="L8" s="6">
        <f>IFERROR(__xludf.DUMMYFUNCTION("""COMPUTED_VALUE"""),3.0)</f>
        <v>3</v>
      </c>
      <c r="S8" s="6">
        <f>IFERROR(__xludf.DUMMYFUNCTION("""COMPUTED_VALUE"""),0.0)</f>
        <v>0</v>
      </c>
    </row>
    <row r="9">
      <c r="A9" s="7" t="s">
        <v>25</v>
      </c>
      <c r="L9" s="6">
        <f>IFERROR(__xludf.DUMMYFUNCTION("""COMPUTED_VALUE"""),3.0)</f>
        <v>3</v>
      </c>
      <c r="S9" s="6">
        <f>IFERROR(__xludf.DUMMYFUNCTION("""COMPUTED_VALUE"""),0.0)</f>
        <v>0</v>
      </c>
    </row>
    <row r="10">
      <c r="A10" s="6" t="s">
        <v>2</v>
      </c>
      <c r="B10" s="6" t="s">
        <v>3</v>
      </c>
      <c r="C10" s="6" t="s">
        <v>4</v>
      </c>
      <c r="L10" s="6">
        <f>IFERROR(__xludf.DUMMYFUNCTION("""COMPUTED_VALUE"""),3.0)</f>
        <v>3</v>
      </c>
      <c r="S10" s="6">
        <f>IFERROR(__xludf.DUMMYFUNCTION("""COMPUTED_VALUE"""),0.0)</f>
        <v>0</v>
      </c>
    </row>
    <row r="11">
      <c r="A11" s="6" t="s">
        <v>505</v>
      </c>
      <c r="B11" s="6" t="s">
        <v>506</v>
      </c>
      <c r="C11" s="6" t="s">
        <v>429</v>
      </c>
      <c r="S11" s="6">
        <f>IFERROR(__xludf.DUMMYFUNCTION("""COMPUTED_VALUE"""),0.0)</f>
        <v>0</v>
      </c>
    </row>
    <row r="12">
      <c r="A12" s="6" t="s">
        <v>508</v>
      </c>
      <c r="B12" s="6" t="s">
        <v>514</v>
      </c>
      <c r="C12" s="6" t="s">
        <v>435</v>
      </c>
    </row>
    <row r="13">
      <c r="A13" s="6" t="s">
        <v>511</v>
      </c>
      <c r="B13" s="6" t="s">
        <v>515</v>
      </c>
      <c r="C13" s="6" t="s">
        <v>492</v>
      </c>
    </row>
    <row r="15">
      <c r="A15" s="7" t="s">
        <v>38</v>
      </c>
    </row>
    <row r="16">
      <c r="A16" s="6" t="s">
        <v>2</v>
      </c>
      <c r="B16" s="6" t="s">
        <v>3</v>
      </c>
      <c r="C16" s="6" t="s">
        <v>4</v>
      </c>
    </row>
    <row r="17">
      <c r="A17" s="6" t="s">
        <v>505</v>
      </c>
      <c r="B17" s="6" t="s">
        <v>506</v>
      </c>
      <c r="C17" s="6" t="s">
        <v>507</v>
      </c>
    </row>
    <row r="18" ht="15.75" customHeight="1">
      <c r="A18" s="6" t="s">
        <v>508</v>
      </c>
      <c r="B18" s="6" t="s">
        <v>509</v>
      </c>
      <c r="C18" s="6" t="s">
        <v>510</v>
      </c>
    </row>
    <row r="19" ht="15.75" customHeight="1">
      <c r="A19" s="6" t="s">
        <v>511</v>
      </c>
      <c r="B19" s="6" t="s">
        <v>512</v>
      </c>
      <c r="C19" s="6" t="s">
        <v>513</v>
      </c>
    </row>
    <row r="20" ht="15.75" customHeight="1"/>
    <row r="21" ht="15.75" customHeight="1"/>
    <row r="22" ht="15.75" customHeight="1">
      <c r="A22" s="7" t="s">
        <v>55</v>
      </c>
    </row>
    <row r="23" ht="15.75" customHeight="1">
      <c r="A23" s="6" t="s">
        <v>2</v>
      </c>
      <c r="B23" s="6" t="s">
        <v>3</v>
      </c>
      <c r="C23" s="6" t="s">
        <v>4</v>
      </c>
    </row>
    <row r="24" ht="15.75" customHeight="1">
      <c r="A24" s="6" t="s">
        <v>505</v>
      </c>
      <c r="B24" s="6" t="s">
        <v>506</v>
      </c>
      <c r="C24" s="6" t="s">
        <v>507</v>
      </c>
    </row>
    <row r="25" ht="15.75" customHeight="1">
      <c r="A25" s="6" t="s">
        <v>508</v>
      </c>
      <c r="B25" s="6" t="s">
        <v>509</v>
      </c>
      <c r="C25" s="6" t="s">
        <v>510</v>
      </c>
    </row>
    <row r="26" ht="15.75" customHeight="1">
      <c r="A26" s="6" t="s">
        <v>511</v>
      </c>
      <c r="B26" s="6" t="s">
        <v>512</v>
      </c>
      <c r="C26" s="6" t="s">
        <v>513</v>
      </c>
    </row>
    <row r="27" ht="15.75" customHeight="1"/>
    <row r="28" ht="15.75" customHeight="1"/>
    <row r="29" ht="15.75" customHeight="1">
      <c r="A29" s="7" t="s">
        <v>70</v>
      </c>
    </row>
    <row r="30" ht="15.75" customHeight="1">
      <c r="A30" s="6" t="s">
        <v>2</v>
      </c>
      <c r="B30" s="6" t="s">
        <v>3</v>
      </c>
      <c r="C30" s="6" t="s">
        <v>4</v>
      </c>
    </row>
    <row r="31" ht="15.75" customHeight="1">
      <c r="A31" s="6" t="s">
        <v>505</v>
      </c>
      <c r="B31" s="6" t="s">
        <v>506</v>
      </c>
      <c r="C31" s="6" t="s">
        <v>516</v>
      </c>
    </row>
    <row r="32" ht="15.75" customHeight="1">
      <c r="A32" s="6" t="s">
        <v>508</v>
      </c>
      <c r="B32" s="6" t="s">
        <v>517</v>
      </c>
      <c r="C32" s="6" t="s">
        <v>518</v>
      </c>
    </row>
    <row r="33" ht="15.75" customHeight="1">
      <c r="A33" s="6" t="s">
        <v>519</v>
      </c>
      <c r="B33" s="6" t="s">
        <v>520</v>
      </c>
      <c r="C33" s="6" t="s">
        <v>521</v>
      </c>
    </row>
    <row r="34" ht="15.75" customHeight="1">
      <c r="A34" s="6" t="s">
        <v>522</v>
      </c>
      <c r="B34" s="6" t="s">
        <v>6</v>
      </c>
      <c r="C34" s="6" t="s">
        <v>523</v>
      </c>
    </row>
    <row r="35" ht="15.75" customHeight="1"/>
    <row r="36" ht="15.75" customHeight="1">
      <c r="A36" s="7" t="s">
        <v>77</v>
      </c>
    </row>
    <row r="37" ht="15.75" customHeight="1">
      <c r="A37" s="6" t="s">
        <v>2</v>
      </c>
      <c r="B37" s="6" t="s">
        <v>3</v>
      </c>
      <c r="C37" s="6" t="s">
        <v>4</v>
      </c>
    </row>
    <row r="38" ht="15.75" customHeight="1">
      <c r="A38" s="6" t="s">
        <v>505</v>
      </c>
      <c r="B38" s="6" t="s">
        <v>506</v>
      </c>
      <c r="C38" s="6" t="s">
        <v>507</v>
      </c>
    </row>
    <row r="39" ht="15.75" customHeight="1">
      <c r="A39" s="6" t="s">
        <v>508</v>
      </c>
      <c r="B39" s="6" t="s">
        <v>509</v>
      </c>
      <c r="C39" s="6" t="s">
        <v>510</v>
      </c>
    </row>
    <row r="40" ht="15.75" customHeight="1">
      <c r="A40" s="6" t="s">
        <v>511</v>
      </c>
      <c r="B40" s="6" t="s">
        <v>512</v>
      </c>
      <c r="C40" s="6" t="s">
        <v>513</v>
      </c>
    </row>
    <row r="41" ht="15.75" customHeight="1"/>
    <row r="42" ht="15.75" customHeight="1">
      <c r="A42" s="7" t="s">
        <v>84</v>
      </c>
    </row>
    <row r="43" ht="15.75" customHeight="1">
      <c r="A43" s="6" t="s">
        <v>2</v>
      </c>
      <c r="B43" s="6" t="s">
        <v>3</v>
      </c>
      <c r="C43" s="6" t="s">
        <v>4</v>
      </c>
    </row>
    <row r="44" ht="15.75" customHeight="1">
      <c r="A44" s="6" t="s">
        <v>505</v>
      </c>
      <c r="B44" s="6" t="s">
        <v>506</v>
      </c>
      <c r="C44" s="6" t="s">
        <v>507</v>
      </c>
    </row>
    <row r="45" ht="15.75" customHeight="1">
      <c r="A45" s="6" t="s">
        <v>508</v>
      </c>
      <c r="B45" s="6" t="s">
        <v>509</v>
      </c>
      <c r="C45" s="6" t="s">
        <v>510</v>
      </c>
    </row>
    <row r="46" ht="15.75" customHeight="1">
      <c r="A46" s="6" t="s">
        <v>511</v>
      </c>
      <c r="B46" s="6" t="s">
        <v>512</v>
      </c>
      <c r="C46" s="6" t="s">
        <v>513</v>
      </c>
    </row>
    <row r="47" ht="15.75" customHeight="1"/>
    <row r="48" ht="15.75" customHeight="1">
      <c r="A48" s="7" t="s">
        <v>92</v>
      </c>
    </row>
    <row r="49" ht="15.75" customHeight="1">
      <c r="A49" s="6" t="s">
        <v>2</v>
      </c>
      <c r="B49" s="6" t="s">
        <v>3</v>
      </c>
      <c r="C49" s="6" t="s">
        <v>4</v>
      </c>
    </row>
    <row r="50" ht="15.75" customHeight="1">
      <c r="A50" s="6" t="s">
        <v>505</v>
      </c>
      <c r="B50" s="6" t="s">
        <v>506</v>
      </c>
      <c r="C50" s="6" t="s">
        <v>524</v>
      </c>
    </row>
    <row r="51" ht="15.75" customHeight="1">
      <c r="A51" s="6" t="s">
        <v>508</v>
      </c>
      <c r="B51" s="6" t="s">
        <v>509</v>
      </c>
      <c r="C51" s="6" t="s">
        <v>525</v>
      </c>
    </row>
    <row r="52" ht="15.75" customHeight="1">
      <c r="A52" s="6" t="s">
        <v>511</v>
      </c>
      <c r="B52" s="6" t="s">
        <v>512</v>
      </c>
      <c r="C52" s="6" t="s">
        <v>526</v>
      </c>
    </row>
    <row r="53" ht="15.75" customHeight="1"/>
    <row r="54" ht="15.75" customHeight="1">
      <c r="A54" s="7" t="s">
        <v>93</v>
      </c>
    </row>
    <row r="55" ht="15.75" customHeight="1">
      <c r="A55" s="6" t="s">
        <v>2</v>
      </c>
      <c r="B55" s="6" t="s">
        <v>3</v>
      </c>
      <c r="C55" s="6" t="s">
        <v>4</v>
      </c>
    </row>
    <row r="56" ht="15.75" customHeight="1">
      <c r="A56" s="6" t="s">
        <v>505</v>
      </c>
      <c r="B56" s="6" t="s">
        <v>506</v>
      </c>
      <c r="C56" s="6" t="s">
        <v>429</v>
      </c>
    </row>
    <row r="57" ht="15.75" customHeight="1">
      <c r="A57" s="6" t="s">
        <v>508</v>
      </c>
      <c r="B57" s="6" t="s">
        <v>509</v>
      </c>
      <c r="C57" s="6" t="s">
        <v>435</v>
      </c>
    </row>
    <row r="58" ht="15.75" customHeight="1">
      <c r="A58" s="6" t="s">
        <v>511</v>
      </c>
      <c r="B58" s="6" t="s">
        <v>512</v>
      </c>
      <c r="C58" s="6" t="s">
        <v>426</v>
      </c>
    </row>
    <row r="59" ht="15.75" customHeight="1"/>
    <row r="60" ht="15.75" customHeight="1">
      <c r="A60" s="7" t="s">
        <v>101</v>
      </c>
    </row>
    <row r="61" ht="15.75" customHeight="1">
      <c r="A61" s="6" t="s">
        <v>2</v>
      </c>
      <c r="B61" s="6" t="s">
        <v>3</v>
      </c>
      <c r="C61" s="6" t="s">
        <v>4</v>
      </c>
    </row>
    <row r="62" ht="15.75" customHeight="1">
      <c r="A62" s="6" t="s">
        <v>505</v>
      </c>
      <c r="B62" s="6" t="s">
        <v>506</v>
      </c>
      <c r="C62" s="6" t="s">
        <v>527</v>
      </c>
    </row>
    <row r="63" ht="15.75" customHeight="1">
      <c r="A63" s="6" t="s">
        <v>508</v>
      </c>
      <c r="B63" s="6" t="s">
        <v>509</v>
      </c>
      <c r="C63" s="6" t="s">
        <v>525</v>
      </c>
    </row>
    <row r="64" ht="15.75" customHeight="1">
      <c r="A64" s="6" t="s">
        <v>511</v>
      </c>
      <c r="B64" s="6" t="s">
        <v>512</v>
      </c>
      <c r="C64" s="6" t="s">
        <v>528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4.0"/>
    <col customWidth="1" min="2" max="2" width="152.0"/>
    <col customWidth="1" min="3" max="3" width="34.14"/>
    <col customWidth="1" min="4" max="26" width="8.71"/>
  </cols>
  <sheetData>
    <row r="1">
      <c r="A1" s="1" t="s">
        <v>529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P2" s="6">
        <f>IFERROR(__xludf.DUMMYFUNCTION("LET(
runCol,$A$1:$A$300,
runRows,FILTER(ROW(runCol),ISNUMBER(SEARCH(""Run "",runCol))),
lastUsed,MAX(FILTER(ROW(runCol),runCol&lt;&gt;"""")),
BYROW(runRows,LAMBDA(r,
  LET(
    k,XMATCH(r,runRows),
    nextRun,IFERROR(INDEX(runRows,k+1),lastUsed+1),
    rng,IND"&amp;"EX($B:$B,r+2):INDEX($B:$B,nextRun-1),
    SUMPRODUCT((rng&lt;&gt;"""")*(LEFT(TRIM(rng),1)&lt;&gt;""-""))
  )
))
)"),3.0)</f>
        <v>3</v>
      </c>
      <c r="Q2" s="6">
        <f>IFERROR(__xludf.DUMMYFUNCTION("LET(
runCol,$A$1:$A$290,
runRows,FILTER(ROW(runCol),ISNUMBER(SEARCH(""Run "",runCol))),
lastUsed,MAX(FILTER(ROW(runCol),runCol&lt;&gt;"""")),
x,BYROW(runRows,LAMBDA(r,
  LET(
    k,XMATCH(r,runRows),
    nextRun,IFERROR(INDEX(runRows,k+1),lastUsed+1),
    rng,I"&amp;"NDEX($B:$B,r+2):INDEX($B:$B,nextRun-1),
    SUMPRODUCT((rng&lt;&gt;"""")*(LEFT(TRIM(rng),1)&lt;&gt;""-""))
  )
)),
HSTACK(AVERAGE(x),STDEV.S(x))
)"),3.0)</f>
        <v>3</v>
      </c>
      <c r="R2" s="6">
        <f>IFERROR(__xludf.DUMMYFUNCTION("""COMPUTED_VALUE"""),0.0)</f>
        <v>0</v>
      </c>
      <c r="U2" s="6">
        <f>IFERROR(__xludf.DUMMYFUNCTION("LET(
expected,{
""Business Stakeholder"";
""Business Analyst"";
""Domain Expert"";
""Data Scientist"";
""Data Engineer"";
""Data Steward"";
""Scientist"";
""ML Engineer / Developer"";
""Solution Architect"";
""Software Engineer"";
""Software Developer"";
"&amp;"""Application Developer"";
""DevOps Engineer"";
""MLOps Engineer"";
""Operations Engineer"";
""IT Operations / Professional""
},
norm,LAMBDA(t,LOWER(TRIM(SUBSTITUTE(SUBSTITUTE(SUBSTITUTE(SUBSTITUTE(SUBSTITUTE(SUBSTITUTE(SUBSTITUTE(t,CHAR(10),"",""),"";"","&amp;""",""),""|"","",""),""•"","",""),"" / "",""/""),"" /"",""/""),""/ "",""/"")))),
expNorm,MAP(expected,norm),
runCol,$A$1:$A$300,
runRows,FILTER(ROW(runCol),ISNUMBER(SEARCH(""Run "",runCol))),
lastUsed,MAX(FILTER(ROW(runCol),runCol&lt;&gt;"""")),
BYROW(runRows,LA"&amp;"MBDA(r,
  LET(
    k,XMATCH(r,runRows),
    nextRun,IFERROR(INDEX(runRows,k+1),lastUsed+1),
    rng,INDEX($B:$B,r+2):INDEX($B:$B,nextRun-1),
    txt,"","" &amp; norm(TEXTJOIN("","",TRUE,rng)) &amp; "","",
    occ,MAP(expNorm,LAMBDA(a,(LEN(txt)-LEN(SUBSTITUTE(txt,"&amp;""",""&amp;a&amp;"","","""")))/LEN("",""&amp;a&amp;"",""))),
    SUM(MAP(occ,LAMBDA(n,MAX(n-1,0))))
  )
))
)"),0.0)</f>
        <v>0</v>
      </c>
    </row>
    <row r="3">
      <c r="A3" s="7" t="s">
        <v>1</v>
      </c>
      <c r="P3" s="6">
        <f>IFERROR(__xludf.DUMMYFUNCTION("""COMPUTED_VALUE"""),3.0)</f>
        <v>3</v>
      </c>
      <c r="U3" s="6">
        <f>IFERROR(__xludf.DUMMYFUNCTION("""COMPUTED_VALUE"""),0.0)</f>
        <v>0</v>
      </c>
    </row>
    <row r="4">
      <c r="A4" s="6" t="s">
        <v>2</v>
      </c>
      <c r="B4" s="6" t="s">
        <v>3</v>
      </c>
      <c r="C4" s="6" t="s">
        <v>4</v>
      </c>
      <c r="P4" s="6">
        <f>IFERROR(__xludf.DUMMYFUNCTION("""COMPUTED_VALUE"""),3.0)</f>
        <v>3</v>
      </c>
      <c r="U4" s="6">
        <f>IFERROR(__xludf.DUMMYFUNCTION("""COMPUTED_VALUE"""),0.0)</f>
        <v>0</v>
      </c>
    </row>
    <row r="5">
      <c r="A5" s="6" t="s">
        <v>505</v>
      </c>
      <c r="B5" s="6" t="s">
        <v>506</v>
      </c>
      <c r="C5" s="6" t="s">
        <v>530</v>
      </c>
      <c r="P5" s="6">
        <f>IFERROR(__xludf.DUMMYFUNCTION("""COMPUTED_VALUE"""),3.0)</f>
        <v>3</v>
      </c>
      <c r="U5" s="6">
        <f>IFERROR(__xludf.DUMMYFUNCTION("""COMPUTED_VALUE"""),0.0)</f>
        <v>0</v>
      </c>
    </row>
    <row r="6">
      <c r="A6" s="6" t="s">
        <v>508</v>
      </c>
      <c r="B6" s="6" t="s">
        <v>509</v>
      </c>
      <c r="C6" s="6" t="s">
        <v>531</v>
      </c>
      <c r="P6" s="6">
        <f>IFERROR(__xludf.DUMMYFUNCTION("""COMPUTED_VALUE"""),3.0)</f>
        <v>3</v>
      </c>
      <c r="U6" s="6">
        <f>IFERROR(__xludf.DUMMYFUNCTION("""COMPUTED_VALUE"""),0.0)</f>
        <v>0</v>
      </c>
    </row>
    <row r="7">
      <c r="A7" s="6" t="s">
        <v>511</v>
      </c>
      <c r="B7" s="6" t="s">
        <v>512</v>
      </c>
      <c r="C7" s="6" t="s">
        <v>532</v>
      </c>
      <c r="P7" s="6">
        <f>IFERROR(__xludf.DUMMYFUNCTION("""COMPUTED_VALUE"""),3.0)</f>
        <v>3</v>
      </c>
      <c r="U7" s="6">
        <f>IFERROR(__xludf.DUMMYFUNCTION("""COMPUTED_VALUE"""),0.0)</f>
        <v>0</v>
      </c>
    </row>
    <row r="8">
      <c r="P8" s="6">
        <f>IFERROR(__xludf.DUMMYFUNCTION("""COMPUTED_VALUE"""),3.0)</f>
        <v>3</v>
      </c>
      <c r="U8" s="6">
        <f>IFERROR(__xludf.DUMMYFUNCTION("""COMPUTED_VALUE"""),0.0)</f>
        <v>0</v>
      </c>
    </row>
    <row r="9">
      <c r="A9" s="7" t="s">
        <v>25</v>
      </c>
      <c r="P9" s="6">
        <f>IFERROR(__xludf.DUMMYFUNCTION("""COMPUTED_VALUE"""),3.0)</f>
        <v>3</v>
      </c>
      <c r="U9" s="6">
        <f>IFERROR(__xludf.DUMMYFUNCTION("""COMPUTED_VALUE"""),0.0)</f>
        <v>0</v>
      </c>
    </row>
    <row r="10">
      <c r="A10" s="6" t="s">
        <v>2</v>
      </c>
      <c r="B10" s="6" t="s">
        <v>3</v>
      </c>
      <c r="C10" s="6" t="s">
        <v>4</v>
      </c>
      <c r="P10" s="6">
        <f>IFERROR(__xludf.DUMMYFUNCTION("""COMPUTED_VALUE"""),3.0)</f>
        <v>3</v>
      </c>
      <c r="U10" s="6">
        <f>IFERROR(__xludf.DUMMYFUNCTION("""COMPUTED_VALUE"""),0.0)</f>
        <v>0</v>
      </c>
    </row>
    <row r="11">
      <c r="A11" s="6" t="s">
        <v>505</v>
      </c>
      <c r="B11" s="6" t="s">
        <v>506</v>
      </c>
      <c r="C11" s="6" t="s">
        <v>429</v>
      </c>
      <c r="P11" s="6">
        <f>IFERROR(__xludf.DUMMYFUNCTION("""COMPUTED_VALUE"""),3.0)</f>
        <v>3</v>
      </c>
      <c r="U11" s="6">
        <f>IFERROR(__xludf.DUMMYFUNCTION("""COMPUTED_VALUE"""),0.0)</f>
        <v>0</v>
      </c>
    </row>
    <row r="12">
      <c r="A12" s="6" t="s">
        <v>508</v>
      </c>
      <c r="B12" s="6" t="s">
        <v>517</v>
      </c>
      <c r="C12" s="6" t="s">
        <v>433</v>
      </c>
    </row>
    <row r="13">
      <c r="A13" s="6" t="s">
        <v>519</v>
      </c>
      <c r="B13" s="6" t="s">
        <v>533</v>
      </c>
      <c r="C13" s="6" t="s">
        <v>435</v>
      </c>
    </row>
    <row r="15">
      <c r="A15" s="7" t="s">
        <v>38</v>
      </c>
    </row>
    <row r="16">
      <c r="A16" s="6" t="s">
        <v>2</v>
      </c>
      <c r="B16" s="6" t="s">
        <v>3</v>
      </c>
      <c r="C16" s="6" t="s">
        <v>4</v>
      </c>
    </row>
    <row r="17">
      <c r="A17" s="6" t="s">
        <v>522</v>
      </c>
      <c r="B17" s="6" t="s">
        <v>95</v>
      </c>
      <c r="C17" s="6" t="s">
        <v>452</v>
      </c>
    </row>
    <row r="18" ht="15.75" customHeight="1">
      <c r="A18" s="6" t="s">
        <v>505</v>
      </c>
      <c r="B18" s="6" t="s">
        <v>534</v>
      </c>
      <c r="C18" s="6" t="s">
        <v>429</v>
      </c>
    </row>
    <row r="19" ht="15.75" customHeight="1">
      <c r="A19" s="6" t="s">
        <v>535</v>
      </c>
      <c r="B19" s="6" t="s">
        <v>536</v>
      </c>
      <c r="C19" s="6" t="s">
        <v>435</v>
      </c>
    </row>
    <row r="20" ht="15.75" customHeight="1"/>
    <row r="21" ht="15.75" customHeight="1">
      <c r="A21" s="7" t="s">
        <v>55</v>
      </c>
    </row>
    <row r="22" ht="15.75" customHeight="1">
      <c r="A22" s="6" t="s">
        <v>2</v>
      </c>
      <c r="B22" s="6" t="s">
        <v>3</v>
      </c>
      <c r="C22" s="6" t="s">
        <v>4</v>
      </c>
    </row>
    <row r="23" ht="15.75" customHeight="1">
      <c r="A23" s="6" t="s">
        <v>505</v>
      </c>
      <c r="B23" s="6" t="s">
        <v>506</v>
      </c>
      <c r="C23" s="6" t="s">
        <v>429</v>
      </c>
    </row>
    <row r="24" ht="15.75" customHeight="1">
      <c r="A24" s="6" t="s">
        <v>508</v>
      </c>
      <c r="B24" s="6" t="s">
        <v>537</v>
      </c>
      <c r="C24" s="6" t="s">
        <v>435</v>
      </c>
    </row>
    <row r="25" ht="15.75" customHeight="1">
      <c r="A25" s="6" t="s">
        <v>538</v>
      </c>
      <c r="B25" s="6" t="s">
        <v>539</v>
      </c>
      <c r="C25" s="6" t="s">
        <v>426</v>
      </c>
    </row>
    <row r="26" ht="15.75" customHeight="1"/>
    <row r="27" ht="15.75" customHeight="1">
      <c r="A27" s="7" t="s">
        <v>70</v>
      </c>
    </row>
    <row r="28" ht="15.75" customHeight="1">
      <c r="A28" s="6" t="s">
        <v>2</v>
      </c>
      <c r="B28" s="6" t="s">
        <v>3</v>
      </c>
      <c r="C28" s="6" t="s">
        <v>4</v>
      </c>
    </row>
    <row r="29" ht="15.75" customHeight="1">
      <c r="A29" s="6" t="s">
        <v>522</v>
      </c>
      <c r="B29" s="6" t="s">
        <v>540</v>
      </c>
      <c r="C29" s="6" t="s">
        <v>452</v>
      </c>
    </row>
    <row r="30" ht="15.75" customHeight="1">
      <c r="A30" s="6" t="s">
        <v>505</v>
      </c>
      <c r="B30" s="6" t="s">
        <v>534</v>
      </c>
      <c r="C30" s="6" t="s">
        <v>429</v>
      </c>
    </row>
    <row r="31" ht="15.75" customHeight="1">
      <c r="A31" s="6" t="s">
        <v>535</v>
      </c>
      <c r="B31" s="6" t="s">
        <v>537</v>
      </c>
      <c r="C31" s="6" t="s">
        <v>435</v>
      </c>
    </row>
    <row r="32" ht="15.75" customHeight="1"/>
    <row r="33" ht="15.75" customHeight="1">
      <c r="A33" s="7" t="s">
        <v>77</v>
      </c>
    </row>
    <row r="34" ht="15.75" customHeight="1">
      <c r="A34" s="6" t="s">
        <v>2</v>
      </c>
      <c r="B34" s="6" t="s">
        <v>3</v>
      </c>
      <c r="C34" s="6" t="s">
        <v>4</v>
      </c>
    </row>
    <row r="35" ht="15.75" customHeight="1">
      <c r="A35" s="6" t="s">
        <v>522</v>
      </c>
      <c r="B35" s="6" t="s">
        <v>541</v>
      </c>
      <c r="C35" s="6" t="s">
        <v>426</v>
      </c>
    </row>
    <row r="36" ht="15.75" customHeight="1">
      <c r="A36" s="6" t="s">
        <v>505</v>
      </c>
      <c r="B36" s="6" t="s">
        <v>237</v>
      </c>
      <c r="C36" s="6" t="s">
        <v>429</v>
      </c>
    </row>
    <row r="37" ht="15.75" customHeight="1">
      <c r="A37" s="6" t="s">
        <v>535</v>
      </c>
      <c r="B37" s="6" t="s">
        <v>537</v>
      </c>
      <c r="C37" s="6" t="s">
        <v>435</v>
      </c>
    </row>
    <row r="38" ht="15.75" customHeight="1"/>
    <row r="39" ht="15.75" customHeight="1">
      <c r="A39" s="7" t="s">
        <v>84</v>
      </c>
    </row>
    <row r="40" ht="15.75" customHeight="1">
      <c r="A40" s="6" t="s">
        <v>2</v>
      </c>
      <c r="B40" s="6" t="s">
        <v>3</v>
      </c>
      <c r="C40" s="6" t="s">
        <v>4</v>
      </c>
    </row>
    <row r="41" ht="15.75" customHeight="1">
      <c r="A41" s="6" t="s">
        <v>505</v>
      </c>
      <c r="B41" s="6" t="s">
        <v>542</v>
      </c>
      <c r="C41" s="6" t="s">
        <v>429</v>
      </c>
    </row>
    <row r="42" ht="15.75" customHeight="1">
      <c r="A42" s="6" t="s">
        <v>508</v>
      </c>
      <c r="B42" s="6" t="s">
        <v>517</v>
      </c>
      <c r="C42" s="6" t="s">
        <v>433</v>
      </c>
    </row>
    <row r="43" ht="15.75" customHeight="1">
      <c r="A43" s="6" t="s">
        <v>519</v>
      </c>
      <c r="B43" s="6" t="s">
        <v>543</v>
      </c>
      <c r="C43" s="6" t="s">
        <v>435</v>
      </c>
    </row>
    <row r="44" ht="15.75" customHeight="1"/>
    <row r="45" ht="15.75" customHeight="1">
      <c r="A45" s="7" t="s">
        <v>92</v>
      </c>
    </row>
    <row r="46" ht="15.75" customHeight="1">
      <c r="A46" s="6" t="s">
        <v>2</v>
      </c>
      <c r="B46" s="6" t="s">
        <v>3</v>
      </c>
      <c r="C46" s="6" t="s">
        <v>4</v>
      </c>
    </row>
    <row r="47" ht="15.75" customHeight="1">
      <c r="A47" s="6" t="s">
        <v>522</v>
      </c>
      <c r="B47" s="6" t="s">
        <v>541</v>
      </c>
      <c r="C47" s="6" t="s">
        <v>426</v>
      </c>
    </row>
    <row r="48" ht="15.75" customHeight="1">
      <c r="A48" s="6" t="s">
        <v>505</v>
      </c>
      <c r="B48" s="6" t="s">
        <v>534</v>
      </c>
      <c r="C48" s="6" t="s">
        <v>429</v>
      </c>
    </row>
    <row r="49" ht="15.75" customHeight="1">
      <c r="A49" s="6" t="s">
        <v>535</v>
      </c>
      <c r="B49" s="6" t="s">
        <v>537</v>
      </c>
      <c r="C49" s="6" t="s">
        <v>435</v>
      </c>
    </row>
    <row r="50" ht="15.75" customHeight="1"/>
    <row r="51" ht="15.75" customHeight="1">
      <c r="A51" s="7" t="s">
        <v>93</v>
      </c>
    </row>
    <row r="52" ht="15.75" customHeight="1">
      <c r="A52" s="6" t="s">
        <v>2</v>
      </c>
      <c r="B52" s="6" t="s">
        <v>3</v>
      </c>
      <c r="C52" s="6" t="s">
        <v>4</v>
      </c>
    </row>
    <row r="53" ht="15.75" customHeight="1">
      <c r="A53" s="6" t="s">
        <v>522</v>
      </c>
      <c r="B53" s="6" t="s">
        <v>95</v>
      </c>
      <c r="C53" s="6" t="s">
        <v>452</v>
      </c>
    </row>
    <row r="54" ht="15.75" customHeight="1">
      <c r="A54" s="6" t="s">
        <v>505</v>
      </c>
      <c r="B54" s="6" t="s">
        <v>534</v>
      </c>
      <c r="C54" s="6" t="s">
        <v>429</v>
      </c>
    </row>
    <row r="55" ht="15.75" customHeight="1">
      <c r="A55" s="6" t="s">
        <v>535</v>
      </c>
      <c r="B55" s="6" t="s">
        <v>536</v>
      </c>
      <c r="C55" s="6" t="s">
        <v>435</v>
      </c>
    </row>
    <row r="56" ht="15.75" customHeight="1"/>
    <row r="57" ht="15.75" customHeight="1">
      <c r="A57" s="7" t="s">
        <v>101</v>
      </c>
    </row>
    <row r="58" ht="15.75" customHeight="1">
      <c r="A58" s="6" t="s">
        <v>2</v>
      </c>
      <c r="B58" s="6" t="s">
        <v>3</v>
      </c>
      <c r="C58" s="6" t="s">
        <v>4</v>
      </c>
    </row>
    <row r="59" ht="15.75" customHeight="1">
      <c r="A59" s="6" t="s">
        <v>522</v>
      </c>
      <c r="B59" s="6" t="s">
        <v>541</v>
      </c>
      <c r="C59" s="6" t="s">
        <v>426</v>
      </c>
    </row>
    <row r="60" ht="15.75" customHeight="1">
      <c r="A60" s="6" t="s">
        <v>505</v>
      </c>
      <c r="B60" s="6" t="s">
        <v>534</v>
      </c>
      <c r="C60" s="6" t="s">
        <v>429</v>
      </c>
    </row>
    <row r="61" ht="15.75" customHeight="1">
      <c r="A61" s="6" t="s">
        <v>535</v>
      </c>
      <c r="B61" s="6" t="s">
        <v>537</v>
      </c>
      <c r="C61" s="6" t="s">
        <v>435</v>
      </c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2.43"/>
    <col customWidth="1" min="2" max="2" width="101.71"/>
    <col customWidth="1" min="3" max="3" width="34.71"/>
    <col customWidth="1" min="4" max="26" width="8.71"/>
  </cols>
  <sheetData>
    <row r="1">
      <c r="A1" s="1" t="s">
        <v>544</v>
      </c>
      <c r="B1" s="2"/>
      <c r="C1" s="2"/>
      <c r="D1" s="2"/>
      <c r="E1" s="2"/>
      <c r="F1" s="3"/>
      <c r="G1" s="4"/>
      <c r="H1" s="4"/>
      <c r="I1" s="4">
        <f>IFERROR(__xludf.DUMMYFUNCTION("LET(
runCol,$A$1:$A$300,
runRows,FILTER(ROW(runCol),ISNUMBER(SEARCH(""Run "",runCol))),
lastUsed,MAX(FILTER(ROW(runCol),runCol&lt;&gt;"""")),
BYROW(runRows,LAMBDA(r,
  LET(
    k,XMATCH(r,runRows),
    nextRun,IFERROR(INDEX(runRows,k+1),lastUsed+1),
    rng,IND"&amp;"EX($B:$B,r+2):INDEX($B:$B,nextRun-1),
    SUMPRODUCT((rng&lt;&gt;"""")*(LEFT(TRIM(rng),1)&lt;&gt;""-""))
  )
))
)"),5.0)</f>
        <v>5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I2" s="6">
        <f>IFERROR(__xludf.DUMMYFUNCTION("""COMPUTED_VALUE"""),4.0)</f>
        <v>4</v>
      </c>
      <c r="K2" s="6">
        <f>IFERROR(__xludf.DUMMYFUNCTION("LET(
runCol,$A$1:$A$300,
runRows,FILTER(ROW(runCol),ISNUMBER(SEARCH(""Run "",runCol))),
lastUsed,MAX(FILTER(ROW(runCol),runCol&lt;&gt;"""")),
x,BYROW(runRows,LAMBDA(r,
  LET(
    k,XMATCH(r,runRows),
    nextRun,IFERROR(INDEX(runRows,k+1),lastUsed+1),
    rng,I"&amp;"NDEX($B:$B,r+2):INDEX($B:$B,nextRun-1),
    SUMPRODUCT((rng&lt;&gt;"""")*(LEFT(TRIM(rng),1)&lt;&gt;""-""))
  )
)),
HSTACK(AVERAGE(x),STDEV.S(x))
)"),4.9)</f>
        <v>4.9</v>
      </c>
      <c r="L2" s="6">
        <f>IFERROR(__xludf.DUMMYFUNCTION("""COMPUTED_VALUE"""),0.5676462121975466)</f>
        <v>0.5676462122</v>
      </c>
    </row>
    <row r="3">
      <c r="A3" s="7" t="s">
        <v>1</v>
      </c>
      <c r="I3" s="6">
        <f>IFERROR(__xludf.DUMMYFUNCTION("""COMPUTED_VALUE"""),5.0)</f>
        <v>5</v>
      </c>
    </row>
    <row r="4">
      <c r="A4" s="6" t="s">
        <v>2</v>
      </c>
      <c r="B4" s="6" t="s">
        <v>3</v>
      </c>
      <c r="C4" s="6" t="s">
        <v>4</v>
      </c>
      <c r="I4" s="6">
        <f>IFERROR(__xludf.DUMMYFUNCTION("""COMPUTED_VALUE"""),5.0)</f>
        <v>5</v>
      </c>
    </row>
    <row r="5">
      <c r="A5" s="6" t="s">
        <v>545</v>
      </c>
      <c r="B5" s="6" t="s">
        <v>546</v>
      </c>
      <c r="C5" s="6" t="s">
        <v>35</v>
      </c>
      <c r="I5" s="6">
        <f>IFERROR(__xludf.DUMMYFUNCTION("""COMPUTED_VALUE"""),6.0)</f>
        <v>6</v>
      </c>
    </row>
    <row r="6">
      <c r="A6" s="6" t="s">
        <v>547</v>
      </c>
      <c r="B6" s="6" t="s">
        <v>548</v>
      </c>
      <c r="C6" s="6" t="s">
        <v>18</v>
      </c>
      <c r="I6" s="6">
        <f>IFERROR(__xludf.DUMMYFUNCTION("""COMPUTED_VALUE"""),5.0)</f>
        <v>5</v>
      </c>
    </row>
    <row r="7">
      <c r="A7" s="6" t="s">
        <v>522</v>
      </c>
      <c r="B7" s="6" t="s">
        <v>239</v>
      </c>
      <c r="C7" s="6" t="s">
        <v>7</v>
      </c>
      <c r="I7" s="6">
        <f>IFERROR(__xludf.DUMMYFUNCTION("""COMPUTED_VALUE"""),4.0)</f>
        <v>4</v>
      </c>
    </row>
    <row r="8">
      <c r="A8" s="6" t="s">
        <v>549</v>
      </c>
      <c r="B8" s="6" t="s">
        <v>20</v>
      </c>
      <c r="C8" s="6" t="s">
        <v>21</v>
      </c>
      <c r="I8" s="6">
        <f>IFERROR(__xludf.DUMMYFUNCTION("""COMPUTED_VALUE"""),5.0)</f>
        <v>5</v>
      </c>
    </row>
    <row r="9">
      <c r="A9" s="6" t="s">
        <v>550</v>
      </c>
      <c r="B9" s="6" t="s">
        <v>9</v>
      </c>
      <c r="C9" s="6" t="s">
        <v>10</v>
      </c>
      <c r="I9" s="6">
        <f>IFERROR(__xludf.DUMMYFUNCTION("""COMPUTED_VALUE"""),5.0)</f>
        <v>5</v>
      </c>
    </row>
    <row r="10">
      <c r="I10" s="6">
        <f>IFERROR(__xludf.DUMMYFUNCTION("""COMPUTED_VALUE"""),5.0)</f>
        <v>5</v>
      </c>
    </row>
    <row r="11">
      <c r="A11" s="7" t="s">
        <v>25</v>
      </c>
    </row>
    <row r="12">
      <c r="A12" s="6" t="s">
        <v>2</v>
      </c>
      <c r="B12" s="6" t="s">
        <v>3</v>
      </c>
      <c r="C12" s="6" t="s">
        <v>4</v>
      </c>
    </row>
    <row r="13">
      <c r="A13" s="6" t="s">
        <v>522</v>
      </c>
      <c r="B13" s="6" t="s">
        <v>30</v>
      </c>
      <c r="C13" s="6" t="s">
        <v>452</v>
      </c>
    </row>
    <row r="14">
      <c r="A14" s="6" t="s">
        <v>545</v>
      </c>
      <c r="B14" s="6" t="s">
        <v>253</v>
      </c>
      <c r="C14" s="6" t="s">
        <v>551</v>
      </c>
    </row>
    <row r="15">
      <c r="A15" s="6" t="s">
        <v>552</v>
      </c>
      <c r="B15" s="6" t="s">
        <v>34</v>
      </c>
      <c r="C15" s="6" t="s">
        <v>429</v>
      </c>
    </row>
    <row r="16">
      <c r="A16" s="6" t="s">
        <v>535</v>
      </c>
      <c r="B16" s="6" t="s">
        <v>553</v>
      </c>
      <c r="C16" s="6" t="s">
        <v>435</v>
      </c>
    </row>
    <row r="18">
      <c r="A18" s="7" t="s">
        <v>38</v>
      </c>
    </row>
    <row r="19" ht="15.75" customHeight="1">
      <c r="A19" s="6" t="s">
        <v>2</v>
      </c>
      <c r="B19" s="6" t="s">
        <v>3</v>
      </c>
      <c r="C19" s="6" t="s">
        <v>4</v>
      </c>
    </row>
    <row r="20" ht="15.75" customHeight="1">
      <c r="A20" s="6" t="s">
        <v>522</v>
      </c>
      <c r="B20" s="6" t="s">
        <v>30</v>
      </c>
      <c r="C20" s="6" t="s">
        <v>452</v>
      </c>
    </row>
    <row r="21" ht="15.75" customHeight="1">
      <c r="A21" s="6" t="s">
        <v>554</v>
      </c>
      <c r="B21" s="6" t="s">
        <v>214</v>
      </c>
      <c r="C21" s="6" t="s">
        <v>551</v>
      </c>
    </row>
    <row r="22" ht="15.75" customHeight="1">
      <c r="A22" s="6" t="s">
        <v>555</v>
      </c>
      <c r="B22" s="6" t="s">
        <v>556</v>
      </c>
      <c r="C22" s="6" t="s">
        <v>435</v>
      </c>
    </row>
    <row r="23" ht="15.75" customHeight="1">
      <c r="A23" s="6" t="s">
        <v>557</v>
      </c>
      <c r="B23" s="6" t="s">
        <v>20</v>
      </c>
      <c r="C23" s="6" t="s">
        <v>558</v>
      </c>
    </row>
    <row r="24" ht="15.75" customHeight="1">
      <c r="A24" s="6" t="s">
        <v>559</v>
      </c>
      <c r="B24" s="6" t="s">
        <v>560</v>
      </c>
      <c r="C24" s="6" t="s">
        <v>561</v>
      </c>
    </row>
    <row r="25" ht="15.75" customHeight="1"/>
    <row r="26" ht="15.75" customHeight="1">
      <c r="A26" s="7" t="s">
        <v>55</v>
      </c>
    </row>
    <row r="27" ht="15.75" customHeight="1">
      <c r="A27" s="6" t="s">
        <v>2</v>
      </c>
      <c r="B27" s="6" t="s">
        <v>3</v>
      </c>
      <c r="C27" s="6" t="s">
        <v>4</v>
      </c>
    </row>
    <row r="28" ht="15.75" customHeight="1">
      <c r="A28" s="6" t="s">
        <v>29</v>
      </c>
      <c r="B28" s="6" t="s">
        <v>6</v>
      </c>
      <c r="C28" s="6" t="s">
        <v>562</v>
      </c>
    </row>
    <row r="29" ht="15.75" customHeight="1">
      <c r="A29" s="6" t="s">
        <v>221</v>
      </c>
      <c r="B29" s="6" t="s">
        <v>14</v>
      </c>
      <c r="C29" s="6" t="s">
        <v>15</v>
      </c>
    </row>
    <row r="30" ht="15.75" customHeight="1">
      <c r="A30" s="6" t="s">
        <v>563</v>
      </c>
      <c r="B30" s="6" t="s">
        <v>564</v>
      </c>
      <c r="C30" s="6" t="s">
        <v>35</v>
      </c>
    </row>
    <row r="31" ht="15.75" customHeight="1">
      <c r="A31" s="6" t="s">
        <v>166</v>
      </c>
      <c r="B31" s="6" t="s">
        <v>126</v>
      </c>
      <c r="C31" s="6" t="s">
        <v>12</v>
      </c>
    </row>
    <row r="32" ht="15.75" customHeight="1">
      <c r="A32" s="6" t="s">
        <v>91</v>
      </c>
      <c r="B32" s="6" t="s">
        <v>23</v>
      </c>
      <c r="C32" s="6" t="s">
        <v>24</v>
      </c>
    </row>
    <row r="33" ht="15.75" customHeight="1"/>
    <row r="34" ht="15.75" customHeight="1">
      <c r="A34" s="7" t="s">
        <v>70</v>
      </c>
    </row>
    <row r="35" ht="15.75" customHeight="1">
      <c r="A35" s="6" t="s">
        <v>2</v>
      </c>
      <c r="B35" s="6" t="s">
        <v>3</v>
      </c>
      <c r="C35" s="6" t="s">
        <v>4</v>
      </c>
    </row>
    <row r="36" ht="15.75" customHeight="1">
      <c r="A36" s="6" t="s">
        <v>565</v>
      </c>
      <c r="B36" s="6" t="s">
        <v>95</v>
      </c>
      <c r="C36" s="6" t="s">
        <v>7</v>
      </c>
    </row>
    <row r="37" ht="15.75" customHeight="1">
      <c r="A37" s="6" t="s">
        <v>566</v>
      </c>
      <c r="B37" s="6" t="s">
        <v>14</v>
      </c>
      <c r="C37" s="6" t="s">
        <v>15</v>
      </c>
    </row>
    <row r="38" ht="15.75" customHeight="1">
      <c r="A38" s="6" t="s">
        <v>563</v>
      </c>
      <c r="B38" s="6" t="s">
        <v>73</v>
      </c>
      <c r="C38" s="6" t="s">
        <v>35</v>
      </c>
    </row>
    <row r="39" ht="15.75" customHeight="1">
      <c r="A39" s="6" t="s">
        <v>567</v>
      </c>
      <c r="B39" s="6" t="s">
        <v>167</v>
      </c>
      <c r="C39" s="6" t="s">
        <v>21</v>
      </c>
    </row>
    <row r="40" ht="15.75" customHeight="1">
      <c r="A40" s="6" t="s">
        <v>568</v>
      </c>
      <c r="B40" s="6" t="s">
        <v>99</v>
      </c>
      <c r="C40" s="6" t="s">
        <v>54</v>
      </c>
    </row>
    <row r="41" ht="15.75" customHeight="1">
      <c r="A41" s="6" t="s">
        <v>569</v>
      </c>
      <c r="B41" s="6" t="s">
        <v>330</v>
      </c>
      <c r="C41" s="6" t="s">
        <v>24</v>
      </c>
    </row>
    <row r="42" ht="15.75" customHeight="1"/>
    <row r="43" ht="15.75" customHeight="1">
      <c r="A43" s="7" t="s">
        <v>77</v>
      </c>
    </row>
    <row r="44" ht="15.75" customHeight="1">
      <c r="A44" s="6" t="s">
        <v>2</v>
      </c>
      <c r="B44" s="6" t="s">
        <v>3</v>
      </c>
      <c r="C44" s="6" t="s">
        <v>4</v>
      </c>
    </row>
    <row r="45" ht="15.75" customHeight="1">
      <c r="A45" s="6" t="s">
        <v>522</v>
      </c>
      <c r="B45" s="6" t="s">
        <v>30</v>
      </c>
      <c r="C45" s="6" t="s">
        <v>7</v>
      </c>
    </row>
    <row r="46" ht="15.75" customHeight="1">
      <c r="A46" s="6" t="s">
        <v>545</v>
      </c>
      <c r="B46" s="6" t="s">
        <v>570</v>
      </c>
      <c r="C46" s="6" t="s">
        <v>15</v>
      </c>
    </row>
    <row r="47" ht="15.75" customHeight="1">
      <c r="A47" s="6" t="s">
        <v>571</v>
      </c>
      <c r="B47" s="6" t="s">
        <v>34</v>
      </c>
      <c r="C47" s="6" t="s">
        <v>18</v>
      </c>
    </row>
    <row r="48" ht="15.75" customHeight="1">
      <c r="A48" s="6" t="s">
        <v>572</v>
      </c>
      <c r="B48" s="6" t="s">
        <v>167</v>
      </c>
      <c r="C48" s="6" t="s">
        <v>21</v>
      </c>
    </row>
    <row r="49" ht="15.75" customHeight="1">
      <c r="A49" s="6" t="s">
        <v>573</v>
      </c>
      <c r="B49" s="6" t="s">
        <v>574</v>
      </c>
      <c r="C49" s="6" t="s">
        <v>24</v>
      </c>
    </row>
    <row r="50" ht="15.75" customHeight="1"/>
    <row r="51" ht="15.75" customHeight="1">
      <c r="A51" s="7" t="s">
        <v>84</v>
      </c>
    </row>
    <row r="52" ht="15.75" customHeight="1">
      <c r="A52" s="6" t="s">
        <v>2</v>
      </c>
      <c r="B52" s="6" t="s">
        <v>3</v>
      </c>
      <c r="C52" s="6" t="s">
        <v>4</v>
      </c>
    </row>
    <row r="53" ht="15.75" customHeight="1">
      <c r="A53" s="6" t="s">
        <v>522</v>
      </c>
      <c r="B53" s="6" t="s">
        <v>95</v>
      </c>
      <c r="C53" s="6" t="s">
        <v>452</v>
      </c>
    </row>
    <row r="54" ht="15.75" customHeight="1">
      <c r="A54" s="6" t="s">
        <v>575</v>
      </c>
      <c r="B54" s="6" t="s">
        <v>34</v>
      </c>
      <c r="C54" s="6" t="s">
        <v>433</v>
      </c>
    </row>
    <row r="55" ht="15.75" customHeight="1">
      <c r="A55" s="6" t="s">
        <v>576</v>
      </c>
      <c r="B55" s="6" t="s">
        <v>577</v>
      </c>
      <c r="C55" s="6" t="s">
        <v>431</v>
      </c>
    </row>
    <row r="56" ht="15.75" customHeight="1">
      <c r="A56" s="6" t="s">
        <v>573</v>
      </c>
      <c r="B56" s="6" t="s">
        <v>578</v>
      </c>
      <c r="C56" s="6" t="s">
        <v>435</v>
      </c>
    </row>
    <row r="57" ht="15.75" customHeight="1"/>
    <row r="58" ht="15.75" customHeight="1">
      <c r="A58" s="7" t="s">
        <v>92</v>
      </c>
    </row>
    <row r="59" ht="15.75" customHeight="1">
      <c r="A59" s="6" t="s">
        <v>2</v>
      </c>
      <c r="B59" s="6" t="s">
        <v>3</v>
      </c>
      <c r="C59" s="6" t="s">
        <v>4</v>
      </c>
    </row>
    <row r="60" ht="15.75" customHeight="1">
      <c r="A60" s="6" t="s">
        <v>565</v>
      </c>
      <c r="B60" s="6" t="s">
        <v>95</v>
      </c>
      <c r="C60" s="6" t="s">
        <v>7</v>
      </c>
    </row>
    <row r="61" ht="15.75" customHeight="1">
      <c r="A61" s="6" t="s">
        <v>221</v>
      </c>
      <c r="B61" s="6" t="s">
        <v>14</v>
      </c>
      <c r="C61" s="6" t="s">
        <v>15</v>
      </c>
    </row>
    <row r="62" ht="15.75" customHeight="1">
      <c r="A62" s="6" t="s">
        <v>579</v>
      </c>
      <c r="B62" s="6" t="s">
        <v>34</v>
      </c>
      <c r="C62" s="6" t="s">
        <v>35</v>
      </c>
    </row>
    <row r="63" ht="15.75" customHeight="1">
      <c r="A63" s="6" t="s">
        <v>248</v>
      </c>
      <c r="B63" s="6" t="s">
        <v>126</v>
      </c>
      <c r="C63" s="6" t="s">
        <v>12</v>
      </c>
    </row>
    <row r="64" ht="15.75" customHeight="1">
      <c r="A64" s="6" t="s">
        <v>580</v>
      </c>
      <c r="B64" s="6" t="s">
        <v>23</v>
      </c>
      <c r="C64" s="6" t="s">
        <v>24</v>
      </c>
    </row>
    <row r="65" ht="15.75" customHeight="1"/>
    <row r="66" ht="15.75" customHeight="1">
      <c r="A66" s="7" t="s">
        <v>93</v>
      </c>
    </row>
    <row r="67" ht="15.75" customHeight="1">
      <c r="A67" s="6" t="s">
        <v>2</v>
      </c>
      <c r="B67" s="6" t="s">
        <v>3</v>
      </c>
      <c r="C67" s="6" t="s">
        <v>4</v>
      </c>
    </row>
    <row r="68" ht="15.75" customHeight="1">
      <c r="A68" s="6" t="s">
        <v>522</v>
      </c>
      <c r="B68" s="6" t="s">
        <v>95</v>
      </c>
      <c r="C68" s="6" t="s">
        <v>7</v>
      </c>
    </row>
    <row r="69" ht="15.75" customHeight="1">
      <c r="A69" s="6" t="s">
        <v>576</v>
      </c>
      <c r="B69" s="6" t="s">
        <v>570</v>
      </c>
      <c r="C69" s="6" t="s">
        <v>15</v>
      </c>
    </row>
    <row r="70" ht="15.75" customHeight="1">
      <c r="A70" s="6" t="s">
        <v>581</v>
      </c>
      <c r="B70" s="6" t="s">
        <v>73</v>
      </c>
      <c r="C70" s="6" t="s">
        <v>35</v>
      </c>
    </row>
    <row r="71" ht="15.75" customHeight="1">
      <c r="A71" s="6" t="s">
        <v>582</v>
      </c>
      <c r="B71" s="6" t="s">
        <v>216</v>
      </c>
      <c r="C71" s="6" t="s">
        <v>18</v>
      </c>
    </row>
    <row r="72" ht="15.75" customHeight="1">
      <c r="A72" s="6" t="s">
        <v>583</v>
      </c>
      <c r="B72" s="6" t="s">
        <v>584</v>
      </c>
      <c r="C72" s="6" t="s">
        <v>24</v>
      </c>
    </row>
    <row r="73" ht="15.75" customHeight="1"/>
    <row r="74" ht="15.75" customHeight="1">
      <c r="A74" s="7" t="s">
        <v>101</v>
      </c>
    </row>
    <row r="75" ht="15.75" customHeight="1">
      <c r="A75" s="6" t="s">
        <v>2</v>
      </c>
      <c r="B75" s="6" t="s">
        <v>3</v>
      </c>
      <c r="C75" s="6" t="s">
        <v>4</v>
      </c>
    </row>
    <row r="76" ht="15.75" customHeight="1">
      <c r="A76" s="6" t="s">
        <v>585</v>
      </c>
      <c r="B76" s="6" t="s">
        <v>30</v>
      </c>
      <c r="C76" s="6" t="s">
        <v>562</v>
      </c>
    </row>
    <row r="77" ht="15.75" customHeight="1">
      <c r="A77" s="6" t="s">
        <v>586</v>
      </c>
      <c r="B77" s="6" t="s">
        <v>14</v>
      </c>
      <c r="C77" s="6" t="s">
        <v>15</v>
      </c>
    </row>
    <row r="78" ht="15.75" customHeight="1">
      <c r="A78" s="6" t="s">
        <v>587</v>
      </c>
      <c r="B78" s="6" t="s">
        <v>73</v>
      </c>
      <c r="C78" s="6" t="s">
        <v>35</v>
      </c>
    </row>
    <row r="79" ht="15.75" customHeight="1">
      <c r="A79" s="6" t="s">
        <v>588</v>
      </c>
      <c r="B79" s="6" t="s">
        <v>219</v>
      </c>
      <c r="C79" s="6" t="s">
        <v>12</v>
      </c>
    </row>
    <row r="80" ht="15.75" customHeight="1">
      <c r="A80" s="6" t="s">
        <v>91</v>
      </c>
      <c r="B80" s="6" t="s">
        <v>23</v>
      </c>
      <c r="C80" s="6" t="s">
        <v>24</v>
      </c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2.57"/>
    <col customWidth="1" min="2" max="2" width="99.29"/>
    <col customWidth="1" min="3" max="3" width="27.43"/>
    <col customWidth="1" min="4" max="26" width="8.71"/>
  </cols>
  <sheetData>
    <row r="1">
      <c r="A1" s="1" t="s">
        <v>589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>
        <f>IFERROR(__xludf.DUMMYFUNCTION("LET(
runCol,$A$1:$A$300,
runRows,FILTER(ROW(runCol),ISNUMBER(SEARCH(""Run "",runCol))),
lastUsed,MAX(FILTER(ROW(runCol),runCol&lt;&gt;"""")),
x,BYROW(runRows,LAMBDA(r,
  LET(
    k,XMATCH(r,runRows),
    nextRun,IFERROR(INDEX(runRows,k+1),lastUsed+1),
    rng,I"&amp;"NDEX($B:$B,r+2):INDEX($B:$B,nextRun-1),
    SUMPRODUCT((rng&lt;&gt;"""")*(LEFT(TRIM(rng),1)&lt;&gt;""-""))
  )
)),
HSTACK(AVERAGE(x),STDEV.S(x))
)"),6.0)</f>
        <v>6</v>
      </c>
      <c r="N1" s="4">
        <f>IFERROR(__xludf.DUMMYFUNCTION("""COMPUTED_VALUE"""),0.0)</f>
        <v>0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3">
      <c r="A3" s="7" t="s">
        <v>1</v>
      </c>
    </row>
    <row r="4">
      <c r="A4" s="6" t="s">
        <v>2</v>
      </c>
      <c r="B4" s="6" t="s">
        <v>3</v>
      </c>
      <c r="C4" s="6" t="s">
        <v>4</v>
      </c>
    </row>
    <row r="5">
      <c r="A5" s="6" t="s">
        <v>590</v>
      </c>
      <c r="B5" s="6" t="s">
        <v>95</v>
      </c>
      <c r="C5" s="6" t="s">
        <v>7</v>
      </c>
    </row>
    <row r="6">
      <c r="A6" s="6" t="s">
        <v>591</v>
      </c>
      <c r="B6" s="6" t="s">
        <v>14</v>
      </c>
      <c r="C6" s="6" t="s">
        <v>15</v>
      </c>
    </row>
    <row r="7">
      <c r="A7" s="6" t="s">
        <v>592</v>
      </c>
      <c r="B7" s="6" t="s">
        <v>73</v>
      </c>
      <c r="C7" s="6" t="s">
        <v>35</v>
      </c>
    </row>
    <row r="8">
      <c r="A8" s="6" t="s">
        <v>572</v>
      </c>
      <c r="B8" s="6" t="s">
        <v>20</v>
      </c>
      <c r="C8" s="6" t="s">
        <v>21</v>
      </c>
    </row>
    <row r="9">
      <c r="A9" s="6" t="s">
        <v>593</v>
      </c>
      <c r="B9" s="6" t="s">
        <v>594</v>
      </c>
      <c r="C9" s="6" t="s">
        <v>24</v>
      </c>
    </row>
    <row r="10">
      <c r="A10" s="6" t="s">
        <v>595</v>
      </c>
      <c r="B10" s="6" t="s">
        <v>99</v>
      </c>
      <c r="C10" s="6" t="s">
        <v>54</v>
      </c>
    </row>
    <row r="12">
      <c r="A12" s="7" t="s">
        <v>25</v>
      </c>
    </row>
    <row r="13">
      <c r="A13" s="6" t="s">
        <v>2</v>
      </c>
      <c r="B13" s="6" t="s">
        <v>3</v>
      </c>
      <c r="C13" s="6" t="s">
        <v>4</v>
      </c>
    </row>
    <row r="14">
      <c r="A14" s="6" t="s">
        <v>590</v>
      </c>
      <c r="B14" s="6" t="s">
        <v>95</v>
      </c>
      <c r="C14" s="6" t="s">
        <v>7</v>
      </c>
    </row>
    <row r="15">
      <c r="A15" s="6" t="s">
        <v>591</v>
      </c>
      <c r="B15" s="6" t="s">
        <v>14</v>
      </c>
      <c r="C15" s="6" t="s">
        <v>15</v>
      </c>
    </row>
    <row r="16">
      <c r="A16" s="6" t="s">
        <v>592</v>
      </c>
      <c r="B16" s="6" t="s">
        <v>73</v>
      </c>
      <c r="C16" s="6" t="s">
        <v>35</v>
      </c>
    </row>
    <row r="17">
      <c r="A17" s="6" t="s">
        <v>572</v>
      </c>
      <c r="B17" s="6" t="s">
        <v>20</v>
      </c>
      <c r="C17" s="6" t="s">
        <v>21</v>
      </c>
    </row>
    <row r="18">
      <c r="A18" s="6" t="s">
        <v>593</v>
      </c>
      <c r="B18" s="6" t="s">
        <v>594</v>
      </c>
      <c r="C18" s="6" t="s">
        <v>24</v>
      </c>
    </row>
    <row r="19">
      <c r="A19" s="6" t="s">
        <v>595</v>
      </c>
      <c r="B19" s="6" t="s">
        <v>99</v>
      </c>
      <c r="C19" s="6" t="s">
        <v>54</v>
      </c>
    </row>
    <row r="21" ht="15.75" customHeight="1">
      <c r="A21" s="7" t="s">
        <v>38</v>
      </c>
    </row>
    <row r="22" ht="15.75" customHeight="1">
      <c r="A22" s="6" t="s">
        <v>2</v>
      </c>
      <c r="B22" s="6" t="s">
        <v>3</v>
      </c>
      <c r="C22" s="6" t="s">
        <v>4</v>
      </c>
    </row>
    <row r="23" ht="15.75" customHeight="1">
      <c r="A23" s="6" t="s">
        <v>590</v>
      </c>
      <c r="B23" s="6" t="s">
        <v>95</v>
      </c>
      <c r="C23" s="6" t="s">
        <v>7</v>
      </c>
    </row>
    <row r="24" ht="15.75" customHeight="1">
      <c r="A24" s="6" t="s">
        <v>591</v>
      </c>
      <c r="B24" s="6" t="s">
        <v>14</v>
      </c>
      <c r="C24" s="6" t="s">
        <v>15</v>
      </c>
    </row>
    <row r="25" ht="15.75" customHeight="1">
      <c r="A25" s="6" t="s">
        <v>592</v>
      </c>
      <c r="B25" s="6" t="s">
        <v>73</v>
      </c>
      <c r="C25" s="6" t="s">
        <v>35</v>
      </c>
    </row>
    <row r="26" ht="15.75" customHeight="1">
      <c r="A26" s="6" t="s">
        <v>572</v>
      </c>
      <c r="B26" s="6" t="s">
        <v>20</v>
      </c>
      <c r="C26" s="6" t="s">
        <v>21</v>
      </c>
    </row>
    <row r="27" ht="15.75" customHeight="1">
      <c r="A27" s="6" t="s">
        <v>593</v>
      </c>
      <c r="B27" s="6" t="s">
        <v>594</v>
      </c>
      <c r="C27" s="6" t="s">
        <v>24</v>
      </c>
    </row>
    <row r="28" ht="15.75" customHeight="1">
      <c r="A28" s="6" t="s">
        <v>595</v>
      </c>
      <c r="B28" s="6" t="s">
        <v>99</v>
      </c>
      <c r="C28" s="6" t="s">
        <v>54</v>
      </c>
    </row>
    <row r="29" ht="15.75" customHeight="1"/>
    <row r="30" ht="15.75" customHeight="1">
      <c r="A30" s="7" t="s">
        <v>55</v>
      </c>
    </row>
    <row r="31" ht="15.75" customHeight="1">
      <c r="A31" s="6" t="s">
        <v>2</v>
      </c>
      <c r="B31" s="6" t="s">
        <v>3</v>
      </c>
      <c r="C31" s="6" t="s">
        <v>4</v>
      </c>
    </row>
    <row r="32" ht="15.75" customHeight="1">
      <c r="A32" s="6" t="s">
        <v>590</v>
      </c>
      <c r="B32" s="6" t="s">
        <v>95</v>
      </c>
      <c r="C32" s="6" t="s">
        <v>7</v>
      </c>
    </row>
    <row r="33" ht="15.75" customHeight="1">
      <c r="A33" s="6" t="s">
        <v>591</v>
      </c>
      <c r="B33" s="6" t="s">
        <v>14</v>
      </c>
      <c r="C33" s="6" t="s">
        <v>15</v>
      </c>
    </row>
    <row r="34" ht="15.75" customHeight="1">
      <c r="A34" s="6" t="s">
        <v>592</v>
      </c>
      <c r="B34" s="6" t="s">
        <v>73</v>
      </c>
      <c r="C34" s="6" t="s">
        <v>35</v>
      </c>
    </row>
    <row r="35" ht="15.75" customHeight="1">
      <c r="A35" s="6" t="s">
        <v>572</v>
      </c>
      <c r="B35" s="6" t="s">
        <v>20</v>
      </c>
      <c r="C35" s="6" t="s">
        <v>21</v>
      </c>
    </row>
    <row r="36" ht="15.75" customHeight="1">
      <c r="A36" s="6" t="s">
        <v>593</v>
      </c>
      <c r="B36" s="6" t="s">
        <v>594</v>
      </c>
      <c r="C36" s="6" t="s">
        <v>24</v>
      </c>
    </row>
    <row r="37" ht="15.75" customHeight="1">
      <c r="A37" s="6" t="s">
        <v>595</v>
      </c>
      <c r="B37" s="6" t="s">
        <v>99</v>
      </c>
      <c r="C37" s="6" t="s">
        <v>54</v>
      </c>
    </row>
    <row r="38" ht="15.75" customHeight="1"/>
    <row r="39" ht="15.75" customHeight="1">
      <c r="A39" s="7" t="s">
        <v>70</v>
      </c>
    </row>
    <row r="40" ht="15.75" customHeight="1">
      <c r="A40" s="6" t="s">
        <v>2</v>
      </c>
      <c r="B40" s="6" t="s">
        <v>3</v>
      </c>
      <c r="C40" s="6" t="s">
        <v>4</v>
      </c>
    </row>
    <row r="41" ht="15.75" customHeight="1">
      <c r="A41" s="6" t="s">
        <v>590</v>
      </c>
      <c r="B41" s="6" t="s">
        <v>95</v>
      </c>
      <c r="C41" s="6" t="s">
        <v>7</v>
      </c>
    </row>
    <row r="42" ht="15.75" customHeight="1">
      <c r="A42" s="6" t="s">
        <v>591</v>
      </c>
      <c r="B42" s="6" t="s">
        <v>14</v>
      </c>
      <c r="C42" s="6" t="s">
        <v>15</v>
      </c>
    </row>
    <row r="43" ht="15.75" customHeight="1">
      <c r="A43" s="6" t="s">
        <v>592</v>
      </c>
      <c r="B43" s="6" t="s">
        <v>73</v>
      </c>
      <c r="C43" s="6" t="s">
        <v>35</v>
      </c>
    </row>
    <row r="44" ht="15.75" customHeight="1">
      <c r="A44" s="6" t="s">
        <v>572</v>
      </c>
      <c r="B44" s="6" t="s">
        <v>20</v>
      </c>
      <c r="C44" s="6" t="s">
        <v>21</v>
      </c>
    </row>
    <row r="45" ht="15.75" customHeight="1">
      <c r="A45" s="6" t="s">
        <v>593</v>
      </c>
      <c r="B45" s="6" t="s">
        <v>594</v>
      </c>
      <c r="C45" s="6" t="s">
        <v>24</v>
      </c>
    </row>
    <row r="46" ht="15.75" customHeight="1">
      <c r="A46" s="6" t="s">
        <v>595</v>
      </c>
      <c r="B46" s="6" t="s">
        <v>99</v>
      </c>
      <c r="C46" s="6" t="s">
        <v>54</v>
      </c>
    </row>
    <row r="47" ht="15.75" customHeight="1"/>
    <row r="48" ht="15.75" customHeight="1">
      <c r="A48" s="7" t="s">
        <v>77</v>
      </c>
    </row>
    <row r="49" ht="15.75" customHeight="1">
      <c r="A49" s="6" t="s">
        <v>2</v>
      </c>
      <c r="B49" s="6" t="s">
        <v>3</v>
      </c>
      <c r="C49" s="6" t="s">
        <v>4</v>
      </c>
    </row>
    <row r="50" ht="15.75" customHeight="1">
      <c r="A50" s="6" t="s">
        <v>590</v>
      </c>
      <c r="B50" s="6" t="s">
        <v>95</v>
      </c>
      <c r="C50" s="6" t="s">
        <v>7</v>
      </c>
    </row>
    <row r="51" ht="15.75" customHeight="1">
      <c r="A51" s="6" t="s">
        <v>591</v>
      </c>
      <c r="B51" s="6" t="s">
        <v>14</v>
      </c>
      <c r="C51" s="6" t="s">
        <v>15</v>
      </c>
    </row>
    <row r="52" ht="15.75" customHeight="1">
      <c r="A52" s="6" t="s">
        <v>592</v>
      </c>
      <c r="B52" s="6" t="s">
        <v>73</v>
      </c>
      <c r="C52" s="6" t="s">
        <v>35</v>
      </c>
    </row>
    <row r="53" ht="15.75" customHeight="1">
      <c r="A53" s="6" t="s">
        <v>572</v>
      </c>
      <c r="B53" s="6" t="s">
        <v>20</v>
      </c>
      <c r="C53" s="6" t="s">
        <v>21</v>
      </c>
    </row>
    <row r="54" ht="15.75" customHeight="1">
      <c r="A54" s="6" t="s">
        <v>593</v>
      </c>
      <c r="B54" s="6" t="s">
        <v>594</v>
      </c>
      <c r="C54" s="6" t="s">
        <v>24</v>
      </c>
    </row>
    <row r="55" ht="15.75" customHeight="1">
      <c r="A55" s="6" t="s">
        <v>595</v>
      </c>
      <c r="B55" s="6" t="s">
        <v>99</v>
      </c>
      <c r="C55" s="6" t="s">
        <v>54</v>
      </c>
    </row>
    <row r="56" ht="15.75" customHeight="1"/>
    <row r="57" ht="15.75" customHeight="1">
      <c r="A57" s="7" t="s">
        <v>84</v>
      </c>
    </row>
    <row r="58" ht="15.75" customHeight="1">
      <c r="A58" s="6" t="s">
        <v>2</v>
      </c>
      <c r="B58" s="6" t="s">
        <v>3</v>
      </c>
      <c r="C58" s="6" t="s">
        <v>4</v>
      </c>
    </row>
    <row r="59" ht="15.75" customHeight="1">
      <c r="A59" s="6" t="s">
        <v>590</v>
      </c>
      <c r="B59" s="6" t="s">
        <v>95</v>
      </c>
      <c r="C59" s="6" t="s">
        <v>7</v>
      </c>
    </row>
    <row r="60" ht="15.75" customHeight="1">
      <c r="A60" s="6" t="s">
        <v>591</v>
      </c>
      <c r="B60" s="6" t="s">
        <v>14</v>
      </c>
      <c r="C60" s="6" t="s">
        <v>15</v>
      </c>
    </row>
    <row r="61" ht="15.75" customHeight="1">
      <c r="A61" s="6" t="s">
        <v>592</v>
      </c>
      <c r="B61" s="6" t="s">
        <v>73</v>
      </c>
      <c r="C61" s="6" t="s">
        <v>35</v>
      </c>
    </row>
    <row r="62" ht="15.75" customHeight="1">
      <c r="A62" s="6" t="s">
        <v>572</v>
      </c>
      <c r="B62" s="6" t="s">
        <v>20</v>
      </c>
      <c r="C62" s="6" t="s">
        <v>21</v>
      </c>
    </row>
    <row r="63" ht="15.75" customHeight="1">
      <c r="A63" s="6" t="s">
        <v>593</v>
      </c>
      <c r="B63" s="6" t="s">
        <v>594</v>
      </c>
      <c r="C63" s="6" t="s">
        <v>24</v>
      </c>
    </row>
    <row r="64" ht="15.75" customHeight="1">
      <c r="A64" s="6" t="s">
        <v>595</v>
      </c>
      <c r="B64" s="6" t="s">
        <v>99</v>
      </c>
      <c r="C64" s="6" t="s">
        <v>54</v>
      </c>
    </row>
    <row r="65" ht="15.75" customHeight="1"/>
    <row r="66" ht="15.75" customHeight="1">
      <c r="A66" s="7" t="s">
        <v>92</v>
      </c>
    </row>
    <row r="67" ht="15.75" customHeight="1">
      <c r="A67" s="6" t="s">
        <v>2</v>
      </c>
      <c r="B67" s="6" t="s">
        <v>3</v>
      </c>
      <c r="C67" s="6" t="s">
        <v>4</v>
      </c>
    </row>
    <row r="68" ht="15.75" customHeight="1">
      <c r="A68" s="6" t="s">
        <v>590</v>
      </c>
      <c r="B68" s="6" t="s">
        <v>95</v>
      </c>
      <c r="C68" s="6" t="s">
        <v>7</v>
      </c>
    </row>
    <row r="69" ht="15.75" customHeight="1">
      <c r="A69" s="6" t="s">
        <v>591</v>
      </c>
      <c r="B69" s="6" t="s">
        <v>14</v>
      </c>
      <c r="C69" s="6" t="s">
        <v>15</v>
      </c>
    </row>
    <row r="70" ht="15.75" customHeight="1">
      <c r="A70" s="6" t="s">
        <v>592</v>
      </c>
      <c r="B70" s="6" t="s">
        <v>73</v>
      </c>
      <c r="C70" s="6" t="s">
        <v>35</v>
      </c>
    </row>
    <row r="71" ht="15.75" customHeight="1">
      <c r="A71" s="6" t="s">
        <v>572</v>
      </c>
      <c r="B71" s="6" t="s">
        <v>20</v>
      </c>
      <c r="C71" s="6" t="s">
        <v>21</v>
      </c>
    </row>
    <row r="72" ht="15.75" customHeight="1">
      <c r="A72" s="6" t="s">
        <v>593</v>
      </c>
      <c r="B72" s="6" t="s">
        <v>594</v>
      </c>
      <c r="C72" s="6" t="s">
        <v>24</v>
      </c>
    </row>
    <row r="73" ht="15.75" customHeight="1">
      <c r="A73" s="6" t="s">
        <v>595</v>
      </c>
      <c r="B73" s="6" t="s">
        <v>99</v>
      </c>
      <c r="C73" s="6" t="s">
        <v>54</v>
      </c>
    </row>
    <row r="74" ht="15.75" customHeight="1"/>
    <row r="75" ht="15.75" customHeight="1">
      <c r="A75" s="7" t="s">
        <v>93</v>
      </c>
    </row>
    <row r="76" ht="15.75" customHeight="1">
      <c r="A76" s="6" t="s">
        <v>2</v>
      </c>
      <c r="B76" s="6" t="s">
        <v>3</v>
      </c>
      <c r="C76" s="6" t="s">
        <v>4</v>
      </c>
    </row>
    <row r="77" ht="15.75" customHeight="1">
      <c r="A77" s="6" t="s">
        <v>590</v>
      </c>
      <c r="B77" s="6" t="s">
        <v>95</v>
      </c>
      <c r="C77" s="6" t="s">
        <v>7</v>
      </c>
    </row>
    <row r="78" ht="15.75" customHeight="1">
      <c r="A78" s="6" t="s">
        <v>591</v>
      </c>
      <c r="B78" s="6" t="s">
        <v>14</v>
      </c>
      <c r="C78" s="6" t="s">
        <v>15</v>
      </c>
    </row>
    <row r="79" ht="15.75" customHeight="1">
      <c r="A79" s="6" t="s">
        <v>592</v>
      </c>
      <c r="B79" s="6" t="s">
        <v>73</v>
      </c>
      <c r="C79" s="6" t="s">
        <v>35</v>
      </c>
    </row>
    <row r="80" ht="15.75" customHeight="1">
      <c r="A80" s="6" t="s">
        <v>572</v>
      </c>
      <c r="B80" s="6" t="s">
        <v>20</v>
      </c>
      <c r="C80" s="6" t="s">
        <v>21</v>
      </c>
    </row>
    <row r="81" ht="15.75" customHeight="1">
      <c r="A81" s="6" t="s">
        <v>593</v>
      </c>
      <c r="B81" s="6" t="s">
        <v>594</v>
      </c>
      <c r="C81" s="6" t="s">
        <v>24</v>
      </c>
    </row>
    <row r="82" ht="15.75" customHeight="1">
      <c r="A82" s="6" t="s">
        <v>595</v>
      </c>
      <c r="B82" s="6" t="s">
        <v>99</v>
      </c>
      <c r="C82" s="6" t="s">
        <v>54</v>
      </c>
    </row>
    <row r="83" ht="15.75" customHeight="1"/>
    <row r="84" ht="15.75" customHeight="1">
      <c r="A84" s="7" t="s">
        <v>101</v>
      </c>
    </row>
    <row r="85" ht="15.75" customHeight="1">
      <c r="A85" s="6" t="s">
        <v>2</v>
      </c>
      <c r="B85" s="6" t="s">
        <v>3</v>
      </c>
      <c r="C85" s="6" t="s">
        <v>4</v>
      </c>
    </row>
    <row r="86" ht="15.75" customHeight="1">
      <c r="A86" s="6" t="s">
        <v>590</v>
      </c>
      <c r="B86" s="6" t="s">
        <v>95</v>
      </c>
      <c r="C86" s="6" t="s">
        <v>7</v>
      </c>
    </row>
    <row r="87" ht="15.75" customHeight="1">
      <c r="A87" s="6" t="s">
        <v>591</v>
      </c>
      <c r="B87" s="6" t="s">
        <v>14</v>
      </c>
      <c r="C87" s="6" t="s">
        <v>15</v>
      </c>
    </row>
    <row r="88" ht="15.75" customHeight="1">
      <c r="A88" s="6" t="s">
        <v>592</v>
      </c>
      <c r="B88" s="6" t="s">
        <v>73</v>
      </c>
      <c r="C88" s="6" t="s">
        <v>35</v>
      </c>
    </row>
    <row r="89" ht="15.75" customHeight="1">
      <c r="A89" s="6" t="s">
        <v>572</v>
      </c>
      <c r="B89" s="6" t="s">
        <v>20</v>
      </c>
      <c r="C89" s="6" t="s">
        <v>21</v>
      </c>
    </row>
    <row r="90" ht="15.75" customHeight="1">
      <c r="A90" s="6" t="s">
        <v>593</v>
      </c>
      <c r="B90" s="6" t="s">
        <v>594</v>
      </c>
      <c r="C90" s="6" t="s">
        <v>24</v>
      </c>
    </row>
    <row r="91" ht="15.75" customHeight="1">
      <c r="A91" s="6" t="s">
        <v>595</v>
      </c>
      <c r="B91" s="6" t="s">
        <v>99</v>
      </c>
      <c r="C91" s="6" t="s">
        <v>54</v>
      </c>
    </row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5.43"/>
    <col customWidth="1" min="2" max="2" width="125.71"/>
    <col customWidth="1" min="3" max="3" width="27.57"/>
    <col customWidth="1" min="4" max="26" width="8.71"/>
  </cols>
  <sheetData>
    <row r="1">
      <c r="A1" s="1" t="s">
        <v>596</v>
      </c>
      <c r="B1" s="2"/>
      <c r="C1" s="2"/>
      <c r="D1" s="2"/>
      <c r="E1" s="2"/>
      <c r="F1" s="3"/>
      <c r="G1" s="4"/>
      <c r="H1" s="4"/>
      <c r="I1" s="4"/>
      <c r="J1" s="4"/>
      <c r="K1" s="4">
        <f>IFERROR(__xludf.DUMMYFUNCTION("LET(
runCol,$A$1:$A$300,
runRows,FILTER(ROW(runCol),ISNUMBER(SEARCH(""Run "",runCol))),
lastUsed,MAX(FILTER(ROW(runCol),runCol&lt;&gt;"""")),
BYROW(runRows,LAMBDA(r,
  LET(
    k,XMATCH(r,runRows),
    nextRun,IFERROR(INDEX(runRows,k+1),lastUsed+1),
    rng,IND"&amp;"EX($B:$B,r+2):INDEX($B:$B,nextRun-1),
    SUMPRODUCT((rng&lt;&gt;"""")*(LEFT(TRIM(rng),1)&lt;&gt;""-""))
  )
))
)"),7.0)</f>
        <v>7</v>
      </c>
      <c r="L1" s="4"/>
      <c r="M1" s="4">
        <f>IFERROR(__xludf.DUMMYFUNCTION("LET(
runCol,$A$1:$A$292,
runRows,FILTER(ROW(runCol),ISNUMBER(SEARCH(""Run "",runCol))),
lastUsed,MAX(FILTER(ROW(runCol),runCol&lt;&gt;"""")),
x,BYROW(runRows,LAMBDA(r,
  LET(
    k,XMATCH(r,runRows),
    nextRun,IFERROR(INDEX(runRows,k+1),lastUsed+1),
    rng,I"&amp;"NDEX($B:$B,r+2):INDEX($B:$B,nextRun-1),
    SUMPRODUCT((rng&lt;&gt;"""")*(LEFT(TRIM(rng),1)&lt;&gt;""-""))
  )
)),
HSTACK(AVERAGE(x),STDEV.S(x))
)"),5.6)</f>
        <v>5.6</v>
      </c>
      <c r="N1" s="4">
        <f>IFERROR(__xludf.DUMMYFUNCTION("""COMPUTED_VALUE"""),1.1737877907772674)</f>
        <v>1.173787791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K2" s="6">
        <f>IFERROR(__xludf.DUMMYFUNCTION("""COMPUTED_VALUE"""),4.0)</f>
        <v>4</v>
      </c>
    </row>
    <row r="3" ht="13.5" customHeight="1">
      <c r="A3" s="7" t="s">
        <v>1</v>
      </c>
      <c r="K3" s="6">
        <f>IFERROR(__xludf.DUMMYFUNCTION("""COMPUTED_VALUE"""),7.0)</f>
        <v>7</v>
      </c>
    </row>
    <row r="4" ht="14.25" customHeight="1">
      <c r="A4" s="6" t="s">
        <v>2</v>
      </c>
      <c r="B4" s="6" t="s">
        <v>3</v>
      </c>
      <c r="C4" s="6" t="s">
        <v>4</v>
      </c>
      <c r="K4" s="6">
        <f>IFERROR(__xludf.DUMMYFUNCTION("""COMPUTED_VALUE"""),6.0)</f>
        <v>6</v>
      </c>
    </row>
    <row r="5">
      <c r="A5" s="6" t="s">
        <v>522</v>
      </c>
      <c r="B5" s="6" t="s">
        <v>6</v>
      </c>
      <c r="C5" s="6" t="s">
        <v>7</v>
      </c>
      <c r="K5" s="6">
        <f>IFERROR(__xludf.DUMMYFUNCTION("""COMPUTED_VALUE"""),4.0)</f>
        <v>4</v>
      </c>
    </row>
    <row r="6">
      <c r="A6" s="6" t="s">
        <v>597</v>
      </c>
      <c r="B6" s="6" t="s">
        <v>542</v>
      </c>
      <c r="C6" s="6" t="s">
        <v>15</v>
      </c>
      <c r="K6" s="6">
        <f>IFERROR(__xludf.DUMMYFUNCTION("""COMPUTED_VALUE"""),6.0)</f>
        <v>6</v>
      </c>
    </row>
    <row r="7">
      <c r="A7" s="6" t="s">
        <v>598</v>
      </c>
      <c r="B7" s="6" t="s">
        <v>599</v>
      </c>
      <c r="C7" s="6" t="s">
        <v>18</v>
      </c>
      <c r="K7" s="6">
        <f>IFERROR(__xludf.DUMMYFUNCTION("""COMPUTED_VALUE"""),4.0)</f>
        <v>4</v>
      </c>
    </row>
    <row r="8">
      <c r="A8" s="6" t="s">
        <v>600</v>
      </c>
      <c r="B8" s="6" t="s">
        <v>20</v>
      </c>
      <c r="C8" s="6" t="s">
        <v>21</v>
      </c>
      <c r="K8" s="6">
        <f>IFERROR(__xludf.DUMMYFUNCTION("""COMPUTED_VALUE"""),6.0)</f>
        <v>6</v>
      </c>
    </row>
    <row r="9">
      <c r="A9" s="6" t="s">
        <v>601</v>
      </c>
      <c r="B9" s="6" t="s">
        <v>12</v>
      </c>
      <c r="C9" s="6" t="s">
        <v>12</v>
      </c>
      <c r="K9" s="6">
        <f>IFERROR(__xludf.DUMMYFUNCTION("""COMPUTED_VALUE"""),6.0)</f>
        <v>6</v>
      </c>
    </row>
    <row r="10">
      <c r="A10" s="6" t="s">
        <v>602</v>
      </c>
      <c r="B10" s="6" t="s">
        <v>603</v>
      </c>
      <c r="C10" s="6" t="s">
        <v>24</v>
      </c>
      <c r="K10" s="6">
        <f>IFERROR(__xludf.DUMMYFUNCTION("""COMPUTED_VALUE"""),6.0)</f>
        <v>6</v>
      </c>
    </row>
    <row r="11" ht="16.5" customHeight="1">
      <c r="A11" s="6" t="s">
        <v>604</v>
      </c>
      <c r="B11" s="6" t="s">
        <v>605</v>
      </c>
      <c r="C11" s="6" t="s">
        <v>69</v>
      </c>
    </row>
    <row r="13">
      <c r="A13" s="7" t="s">
        <v>25</v>
      </c>
    </row>
    <row r="14">
      <c r="A14" s="6" t="s">
        <v>2</v>
      </c>
      <c r="B14" s="6" t="s">
        <v>3</v>
      </c>
      <c r="C14" s="6" t="s">
        <v>4</v>
      </c>
    </row>
    <row r="15">
      <c r="A15" s="6" t="s">
        <v>522</v>
      </c>
      <c r="B15" s="6" t="s">
        <v>30</v>
      </c>
      <c r="C15" s="6" t="s">
        <v>7</v>
      </c>
    </row>
    <row r="16">
      <c r="A16" s="6" t="s">
        <v>606</v>
      </c>
      <c r="B16" s="6" t="s">
        <v>214</v>
      </c>
      <c r="C16" s="6" t="s">
        <v>35</v>
      </c>
    </row>
    <row r="17">
      <c r="A17" s="6" t="s">
        <v>607</v>
      </c>
      <c r="B17" s="6" t="s">
        <v>216</v>
      </c>
      <c r="C17" s="6" t="s">
        <v>18</v>
      </c>
    </row>
    <row r="18">
      <c r="A18" s="6" t="s">
        <v>608</v>
      </c>
      <c r="B18" s="6" t="s">
        <v>609</v>
      </c>
      <c r="C18" s="6" t="s">
        <v>24</v>
      </c>
    </row>
    <row r="19" ht="15.75" customHeight="1"/>
    <row r="20" ht="15.75" customHeight="1">
      <c r="A20" s="7" t="s">
        <v>38</v>
      </c>
    </row>
    <row r="21" ht="15.75" customHeight="1">
      <c r="A21" s="6" t="s">
        <v>2</v>
      </c>
      <c r="B21" s="6" t="s">
        <v>3</v>
      </c>
      <c r="C21" s="6" t="s">
        <v>4</v>
      </c>
    </row>
    <row r="22" ht="15.75" customHeight="1">
      <c r="A22" s="6" t="s">
        <v>522</v>
      </c>
      <c r="B22" s="6" t="s">
        <v>30</v>
      </c>
      <c r="C22" s="6" t="s">
        <v>7</v>
      </c>
    </row>
    <row r="23" ht="15.75" customHeight="1">
      <c r="A23" s="6" t="s">
        <v>597</v>
      </c>
      <c r="B23" s="6" t="s">
        <v>214</v>
      </c>
      <c r="C23" s="6" t="s">
        <v>15</v>
      </c>
    </row>
    <row r="24" ht="15.75" customHeight="1">
      <c r="A24" s="6" t="s">
        <v>598</v>
      </c>
      <c r="B24" s="6" t="s">
        <v>228</v>
      </c>
      <c r="C24" s="6" t="s">
        <v>18</v>
      </c>
    </row>
    <row r="25" ht="15.75" customHeight="1">
      <c r="A25" s="6" t="s">
        <v>600</v>
      </c>
      <c r="B25" s="6" t="s">
        <v>20</v>
      </c>
      <c r="C25" s="6" t="s">
        <v>21</v>
      </c>
    </row>
    <row r="26" ht="15.75" customHeight="1">
      <c r="A26" s="6" t="s">
        <v>601</v>
      </c>
      <c r="B26" s="6" t="s">
        <v>12</v>
      </c>
      <c r="C26" s="6" t="s">
        <v>12</v>
      </c>
    </row>
    <row r="27" ht="15.75" customHeight="1">
      <c r="A27" s="6" t="s">
        <v>602</v>
      </c>
      <c r="B27" s="6" t="s">
        <v>318</v>
      </c>
      <c r="C27" s="6" t="s">
        <v>24</v>
      </c>
    </row>
    <row r="28" ht="15.75" customHeight="1">
      <c r="A28" s="6" t="s">
        <v>610</v>
      </c>
      <c r="B28" s="6" t="s">
        <v>320</v>
      </c>
      <c r="C28" s="6" t="s">
        <v>69</v>
      </c>
    </row>
    <row r="29" ht="15.75" customHeight="1"/>
    <row r="30" ht="15.75" customHeight="1">
      <c r="A30" s="7" t="s">
        <v>55</v>
      </c>
    </row>
    <row r="31" ht="15.75" customHeight="1">
      <c r="A31" s="6" t="s">
        <v>2</v>
      </c>
      <c r="B31" s="6" t="s">
        <v>3</v>
      </c>
      <c r="C31" s="6" t="s">
        <v>4</v>
      </c>
    </row>
    <row r="32" ht="15.75" customHeight="1">
      <c r="A32" s="6" t="s">
        <v>522</v>
      </c>
      <c r="B32" s="6" t="s">
        <v>611</v>
      </c>
      <c r="C32" s="6" t="s">
        <v>7</v>
      </c>
    </row>
    <row r="33" ht="15.75" customHeight="1">
      <c r="A33" s="6" t="s">
        <v>597</v>
      </c>
      <c r="B33" s="6" t="s">
        <v>612</v>
      </c>
      <c r="C33" s="6" t="s">
        <v>15</v>
      </c>
    </row>
    <row r="34" ht="15.75" customHeight="1">
      <c r="A34" s="6" t="s">
        <v>598</v>
      </c>
      <c r="B34" s="6" t="s">
        <v>613</v>
      </c>
      <c r="C34" s="6" t="s">
        <v>35</v>
      </c>
    </row>
    <row r="35" ht="15.75" customHeight="1">
      <c r="A35" s="6" t="s">
        <v>600</v>
      </c>
      <c r="B35" s="6" t="s">
        <v>614</v>
      </c>
      <c r="C35" s="6" t="s">
        <v>21</v>
      </c>
    </row>
    <row r="36" ht="15.75" customHeight="1">
      <c r="A36" s="6" t="s">
        <v>615</v>
      </c>
      <c r="B36" s="6" t="s">
        <v>616</v>
      </c>
      <c r="C36" s="6" t="s">
        <v>24</v>
      </c>
    </row>
    <row r="37" ht="15.75" customHeight="1">
      <c r="A37" s="6" t="s">
        <v>617</v>
      </c>
      <c r="B37" s="6" t="s">
        <v>618</v>
      </c>
      <c r="C37" s="6" t="s">
        <v>12</v>
      </c>
    </row>
    <row r="38" ht="15.75" customHeight="1"/>
    <row r="39" ht="15.75" customHeight="1">
      <c r="A39" s="7" t="s">
        <v>70</v>
      </c>
    </row>
    <row r="40" ht="15.75" customHeight="1">
      <c r="A40" s="6" t="s">
        <v>2</v>
      </c>
      <c r="B40" s="6" t="s">
        <v>3</v>
      </c>
      <c r="C40" s="6" t="s">
        <v>4</v>
      </c>
    </row>
    <row r="41" ht="15.75" customHeight="1">
      <c r="A41" s="6" t="s">
        <v>522</v>
      </c>
      <c r="B41" s="6" t="s">
        <v>30</v>
      </c>
      <c r="C41" s="6" t="s">
        <v>7</v>
      </c>
    </row>
    <row r="42" ht="15.75" customHeight="1">
      <c r="A42" s="6" t="s">
        <v>597</v>
      </c>
      <c r="B42" s="6" t="s">
        <v>214</v>
      </c>
      <c r="C42" s="6" t="s">
        <v>15</v>
      </c>
    </row>
    <row r="43" ht="15.75" customHeight="1">
      <c r="A43" s="6" t="s">
        <v>598</v>
      </c>
      <c r="B43" s="6" t="s">
        <v>619</v>
      </c>
      <c r="C43" s="6" t="s">
        <v>18</v>
      </c>
    </row>
    <row r="44" ht="15.75" customHeight="1">
      <c r="A44" s="6" t="s">
        <v>620</v>
      </c>
      <c r="B44" s="6" t="s">
        <v>621</v>
      </c>
      <c r="C44" s="6" t="s">
        <v>24</v>
      </c>
    </row>
    <row r="45" ht="15.75" customHeight="1"/>
    <row r="46" ht="15.75" customHeight="1">
      <c r="A46" s="7" t="s">
        <v>77</v>
      </c>
    </row>
    <row r="47" ht="15.75" customHeight="1">
      <c r="A47" s="6" t="s">
        <v>2</v>
      </c>
      <c r="B47" s="6" t="s">
        <v>3</v>
      </c>
      <c r="C47" s="6" t="s">
        <v>4</v>
      </c>
    </row>
    <row r="48" ht="15.75" customHeight="1">
      <c r="A48" s="6" t="s">
        <v>522</v>
      </c>
      <c r="B48" s="6" t="s">
        <v>30</v>
      </c>
      <c r="C48" s="6" t="s">
        <v>7</v>
      </c>
    </row>
    <row r="49" ht="15.75" customHeight="1">
      <c r="A49" s="6" t="s">
        <v>545</v>
      </c>
      <c r="B49" s="6" t="s">
        <v>214</v>
      </c>
      <c r="C49" s="6" t="s">
        <v>163</v>
      </c>
    </row>
    <row r="50" ht="15.75" customHeight="1">
      <c r="A50" s="6" t="s">
        <v>622</v>
      </c>
      <c r="B50" s="6" t="s">
        <v>228</v>
      </c>
      <c r="C50" s="6" t="s">
        <v>35</v>
      </c>
    </row>
    <row r="51" ht="15.75" customHeight="1">
      <c r="A51" s="6" t="s">
        <v>623</v>
      </c>
      <c r="B51" s="6" t="s">
        <v>20</v>
      </c>
      <c r="C51" s="6" t="s">
        <v>21</v>
      </c>
    </row>
    <row r="52" ht="15.75" customHeight="1">
      <c r="A52" s="6" t="s">
        <v>624</v>
      </c>
      <c r="B52" s="6" t="s">
        <v>423</v>
      </c>
      <c r="C52" s="6" t="s">
        <v>24</v>
      </c>
    </row>
    <row r="53" ht="15.75" customHeight="1">
      <c r="A53" s="6" t="s">
        <v>625</v>
      </c>
      <c r="B53" s="6" t="s">
        <v>12</v>
      </c>
      <c r="C53" s="6" t="s">
        <v>12</v>
      </c>
    </row>
    <row r="54" ht="15.75" customHeight="1"/>
    <row r="55" ht="15.75" customHeight="1">
      <c r="A55" s="7" t="s">
        <v>84</v>
      </c>
    </row>
    <row r="56" ht="15.75" customHeight="1">
      <c r="A56" s="6" t="s">
        <v>2</v>
      </c>
      <c r="B56" s="6" t="s">
        <v>3</v>
      </c>
      <c r="C56" s="6" t="s">
        <v>4</v>
      </c>
    </row>
    <row r="57" ht="15.75" customHeight="1">
      <c r="A57" s="6" t="s">
        <v>522</v>
      </c>
      <c r="B57" s="6" t="s">
        <v>30</v>
      </c>
      <c r="C57" s="6" t="s">
        <v>7</v>
      </c>
    </row>
    <row r="58" ht="15.75" customHeight="1">
      <c r="A58" s="6" t="s">
        <v>606</v>
      </c>
      <c r="B58" s="6" t="s">
        <v>214</v>
      </c>
      <c r="C58" s="6" t="s">
        <v>35</v>
      </c>
    </row>
    <row r="59" ht="15.75" customHeight="1">
      <c r="A59" s="6" t="s">
        <v>626</v>
      </c>
      <c r="B59" s="6" t="s">
        <v>216</v>
      </c>
      <c r="C59" s="6" t="s">
        <v>18</v>
      </c>
    </row>
    <row r="60" ht="15.75" customHeight="1">
      <c r="A60" s="6" t="s">
        <v>608</v>
      </c>
      <c r="B60" s="6" t="s">
        <v>621</v>
      </c>
      <c r="C60" s="6" t="s">
        <v>24</v>
      </c>
    </row>
    <row r="61" ht="15.75" customHeight="1"/>
    <row r="62" ht="15.75" customHeight="1">
      <c r="A62" s="7" t="s">
        <v>92</v>
      </c>
    </row>
    <row r="63" ht="15.75" customHeight="1">
      <c r="A63" s="6" t="s">
        <v>2</v>
      </c>
      <c r="B63" s="6" t="s">
        <v>3</v>
      </c>
      <c r="C63" s="6" t="s">
        <v>4</v>
      </c>
    </row>
    <row r="64" ht="15.75" customHeight="1">
      <c r="A64" s="6" t="s">
        <v>522</v>
      </c>
      <c r="B64" s="6" t="s">
        <v>95</v>
      </c>
      <c r="C64" s="6" t="s">
        <v>7</v>
      </c>
    </row>
    <row r="65" ht="15.75" customHeight="1">
      <c r="A65" s="6" t="s">
        <v>597</v>
      </c>
      <c r="B65" s="6" t="s">
        <v>214</v>
      </c>
      <c r="C65" s="6" t="s">
        <v>15</v>
      </c>
    </row>
    <row r="66" ht="15.75" customHeight="1">
      <c r="A66" s="6" t="s">
        <v>598</v>
      </c>
      <c r="B66" s="6" t="s">
        <v>228</v>
      </c>
      <c r="C66" s="6" t="s">
        <v>18</v>
      </c>
    </row>
    <row r="67" ht="15.75" customHeight="1">
      <c r="A67" s="6" t="s">
        <v>600</v>
      </c>
      <c r="B67" s="6" t="s">
        <v>20</v>
      </c>
      <c r="C67" s="6" t="s">
        <v>21</v>
      </c>
    </row>
    <row r="68" ht="15.75" customHeight="1">
      <c r="A68" s="6" t="s">
        <v>627</v>
      </c>
      <c r="B68" s="6" t="s">
        <v>628</v>
      </c>
      <c r="C68" s="6" t="s">
        <v>24</v>
      </c>
    </row>
    <row r="69" ht="15.75" customHeight="1">
      <c r="A69" s="6" t="s">
        <v>620</v>
      </c>
      <c r="B69" s="6" t="s">
        <v>99</v>
      </c>
      <c r="C69" s="6" t="s">
        <v>69</v>
      </c>
    </row>
    <row r="70" ht="15.75" customHeight="1"/>
    <row r="71" ht="15.75" customHeight="1">
      <c r="A71" s="7" t="s">
        <v>93</v>
      </c>
    </row>
    <row r="72" ht="15.75" customHeight="1">
      <c r="A72" s="6" t="s">
        <v>2</v>
      </c>
      <c r="B72" s="6" t="s">
        <v>3</v>
      </c>
      <c r="C72" s="6" t="s">
        <v>4</v>
      </c>
    </row>
    <row r="73" ht="15.75" customHeight="1">
      <c r="A73" s="6" t="s">
        <v>522</v>
      </c>
      <c r="B73" s="6" t="s">
        <v>30</v>
      </c>
      <c r="C73" s="6" t="s">
        <v>7</v>
      </c>
    </row>
    <row r="74" ht="15.75" customHeight="1">
      <c r="A74" s="6" t="s">
        <v>597</v>
      </c>
      <c r="B74" s="6" t="s">
        <v>214</v>
      </c>
      <c r="C74" s="6" t="s">
        <v>15</v>
      </c>
    </row>
    <row r="75" ht="15.75" customHeight="1">
      <c r="A75" s="6" t="s">
        <v>626</v>
      </c>
      <c r="B75" s="6" t="s">
        <v>228</v>
      </c>
      <c r="C75" s="6" t="s">
        <v>18</v>
      </c>
    </row>
    <row r="76" ht="15.75" customHeight="1">
      <c r="A76" s="6" t="s">
        <v>623</v>
      </c>
      <c r="B76" s="6" t="s">
        <v>20</v>
      </c>
      <c r="C76" s="6" t="s">
        <v>21</v>
      </c>
    </row>
    <row r="77" ht="15.75" customHeight="1">
      <c r="A77" s="6" t="s">
        <v>629</v>
      </c>
      <c r="B77" s="6" t="s">
        <v>23</v>
      </c>
      <c r="C77" s="6" t="s">
        <v>24</v>
      </c>
    </row>
    <row r="78" ht="15.75" customHeight="1">
      <c r="A78" s="6" t="s">
        <v>630</v>
      </c>
      <c r="B78" s="6" t="s">
        <v>12</v>
      </c>
      <c r="C78" s="6" t="s">
        <v>12</v>
      </c>
    </row>
    <row r="79" ht="15.75" customHeight="1"/>
    <row r="80" ht="15.75" customHeight="1">
      <c r="A80" s="7" t="s">
        <v>101</v>
      </c>
    </row>
    <row r="81" ht="15.75" customHeight="1">
      <c r="A81" s="6" t="s">
        <v>2</v>
      </c>
      <c r="B81" s="6" t="s">
        <v>3</v>
      </c>
      <c r="C81" s="6" t="s">
        <v>4</v>
      </c>
    </row>
    <row r="82" ht="15.75" customHeight="1">
      <c r="A82" s="6" t="s">
        <v>522</v>
      </c>
      <c r="B82" s="6" t="s">
        <v>631</v>
      </c>
      <c r="C82" s="6" t="s">
        <v>7</v>
      </c>
    </row>
    <row r="83" ht="15.75" customHeight="1">
      <c r="A83" s="6" t="s">
        <v>597</v>
      </c>
      <c r="B83" s="6" t="s">
        <v>632</v>
      </c>
      <c r="C83" s="6" t="s">
        <v>15</v>
      </c>
    </row>
    <row r="84" ht="15.75" customHeight="1">
      <c r="A84" s="6" t="s">
        <v>598</v>
      </c>
      <c r="B84" s="6" t="s">
        <v>633</v>
      </c>
      <c r="C84" s="6" t="s">
        <v>35</v>
      </c>
    </row>
    <row r="85" ht="15.75" customHeight="1">
      <c r="A85" s="6" t="s">
        <v>600</v>
      </c>
      <c r="B85" s="6" t="s">
        <v>634</v>
      </c>
      <c r="C85" s="6" t="s">
        <v>21</v>
      </c>
    </row>
    <row r="86" ht="15.75" customHeight="1">
      <c r="A86" s="6" t="s">
        <v>615</v>
      </c>
      <c r="B86" s="6" t="s">
        <v>635</v>
      </c>
      <c r="C86" s="6" t="s">
        <v>24</v>
      </c>
    </row>
    <row r="87" ht="15.75" customHeight="1">
      <c r="A87" s="6" t="s">
        <v>601</v>
      </c>
      <c r="B87" s="6" t="s">
        <v>636</v>
      </c>
      <c r="C87" s="6" t="s">
        <v>12</v>
      </c>
    </row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2.43"/>
    <col customWidth="1" min="2" max="2" width="96.29"/>
    <col customWidth="1" min="3" max="3" width="27.86"/>
    <col customWidth="1" min="4" max="15" width="8.71"/>
    <col customWidth="1" min="16" max="16" width="15.43"/>
    <col customWidth="1" min="17" max="20" width="8.71"/>
    <col customWidth="1" min="21" max="21" width="12.71"/>
    <col customWidth="1" min="22" max="26" width="8.71"/>
  </cols>
  <sheetData>
    <row r="1">
      <c r="A1" s="1" t="s">
        <v>637</v>
      </c>
      <c r="B1" s="2"/>
      <c r="C1" s="2"/>
      <c r="D1" s="2"/>
      <c r="E1" s="2"/>
      <c r="F1" s="3"/>
      <c r="G1" s="4"/>
      <c r="H1" s="4"/>
      <c r="I1" s="4"/>
      <c r="J1" s="4"/>
      <c r="K1" s="4"/>
      <c r="L1" s="4">
        <f>IFERROR(__xludf.DUMMYFUNCTION("LET(
runCol,$A$1:$A$290,
runRows,FILTER(ROW(runCol),ISNUMBER(SEARCH(""Run "",runCol))),
lastUsed,MAX(FILTER(ROW(runCol),runCol&lt;&gt;"""")),
BYROW(runRows,LAMBDA(r,
  LET(
    k,XMATCH(r,runRows),
    nextRun,IFERROR(INDEX(runRows,k+1),lastUsed+1),
    rng,IND"&amp;"EX($B:$B,r+2):INDEX($B:$B,nextRun-1),
    SUMPRODUCT((rng&lt;&gt;"""")*(LEFT(TRIM(rng),1)&lt;&gt;""-""))
  )
))
)"),7.0)</f>
        <v>7</v>
      </c>
      <c r="M1" s="4"/>
      <c r="N1" s="4"/>
      <c r="O1" s="4">
        <f>IFERROR(__xludf.DUMMYFUNCTION("LET(
runCol,$A$1:$A$292,
runRows,FILTER(ROW(runCol),ISNUMBER(SEARCH(""Run "",runCol))),
lastUsed,MAX(FILTER(ROW(runCol),runCol&lt;&gt;"""")),
x,BYROW(runRows,LAMBDA(r,
  LET(
    k,XMATCH(r,runRows),
    nextRun,IFERROR(INDEX(runRows,k+1),lastUsed+1),
    rng,I"&amp;"NDEX($B:$B,r+2):INDEX($B:$B,nextRun-1),
    SUMPRODUCT((rng&lt;&gt;"""")*(LEFT(TRIM(rng),1)&lt;&gt;""-""))
  )
)),
HSTACK(AVERAGE(x),STDEV.S(x))
)"),6.0)</f>
        <v>6</v>
      </c>
      <c r="P1" s="4">
        <f>IFERROR(__xludf.DUMMYFUNCTION("""COMPUTED_VALUE"""),1.247219128924647)</f>
        <v>1.247219129</v>
      </c>
      <c r="Q1" s="4"/>
      <c r="R1" s="4"/>
      <c r="S1" s="4"/>
      <c r="T1" s="4"/>
      <c r="U1" s="10" t="s">
        <v>638</v>
      </c>
      <c r="V1" s="4"/>
      <c r="W1" s="4"/>
      <c r="X1" s="4"/>
      <c r="Y1" s="4"/>
      <c r="Z1" s="4"/>
    </row>
    <row r="2">
      <c r="L2" s="6">
        <f>IFERROR(__xludf.DUMMYFUNCTION("""COMPUTED_VALUE"""),5.0)</f>
        <v>5</v>
      </c>
      <c r="U2" s="6">
        <f>IFERROR(__xludf.DUMMYFUNCTION("LET(
expected,{
""Business Stakeholder"";
""Business Analyst"";
""Domain Expert"";
""Data Scientist"";
""Data Engineer"";
""Data Steward"";
""Scientist"";
""ML Engineer / Developer"";
""Solution Architect"";
""Software Engineer"";
""Software Developer"";
"&amp;"""Application Developer"";
""DevOps Engineer"";
""MLOps Engineer"";
""Operations Engineer"";
""IT Operations / Professional""
},
norm,LAMBDA(t,LOWER(TRIM(SUBSTITUTE(SUBSTITUTE(SUBSTITUTE(SUBSTITUTE(SUBSTITUTE(SUBSTITUTE(SUBSTITUTE(t,CHAR(10),"",""),"";"","&amp;""",""),""|"","",""),""•"","",""),"" / "",""/""),"" /"",""/""),""/ "",""/"")))),
expNorm,MAP(expected,norm),
runCol,$A$1:$A$300,
runRows,FILTER(ROW(runCol),ISNUMBER(SEARCH(""Run "",runCol))),
lastUsed,MAX(FILTER(ROW(runCol),runCol&lt;&gt;"""")),
x,BYROW(runRows,"&amp;"LAMBDA(r,
  LET(
    k,XMATCH(r,runRows),
    nextRun,IFERROR(INDEX(runRows,k+1),lastUsed+1),
    rng,INDEX($B:$B,r+2):INDEX($B:$B,nextRun-1),
    txt,"","" &amp; norm(TEXTJOIN("","",TRUE,rng)) &amp; "","",
    occ,MAP(expNorm,LAMBDA(a,(LEN(txt)-LEN(SUBSTITUTE(tx"&amp;"t,"",""&amp;a&amp;"","","""")))/LEN("",""&amp;a&amp;"",""))),
    SUM(MAP(occ,LAMBDA(n,MAX(n-1,0))))
  )
)),
HSTACK(AVERAGE(x),STDEV.S(x))
)"),0.0)</f>
        <v>0</v>
      </c>
      <c r="V2" s="6">
        <f>IFERROR(__xludf.DUMMYFUNCTION("""COMPUTED_VALUE"""),0.0)</f>
        <v>0</v>
      </c>
    </row>
    <row r="3">
      <c r="A3" s="7" t="s">
        <v>1</v>
      </c>
      <c r="L3" s="6">
        <f>IFERROR(__xludf.DUMMYFUNCTION("""COMPUTED_VALUE"""),5.0)</f>
        <v>5</v>
      </c>
    </row>
    <row r="4">
      <c r="A4" s="6" t="s">
        <v>2</v>
      </c>
      <c r="B4" s="6" t="s">
        <v>3</v>
      </c>
      <c r="C4" s="6" t="s">
        <v>4</v>
      </c>
      <c r="L4" s="6">
        <f>IFERROR(__xludf.DUMMYFUNCTION("""COMPUTED_VALUE"""),6.0)</f>
        <v>6</v>
      </c>
    </row>
    <row r="5">
      <c r="A5" s="6" t="s">
        <v>639</v>
      </c>
      <c r="B5" s="6" t="s">
        <v>95</v>
      </c>
      <c r="C5" s="6" t="s">
        <v>452</v>
      </c>
      <c r="L5" s="6">
        <f>IFERROR(__xludf.DUMMYFUNCTION("""COMPUTED_VALUE"""),5.0)</f>
        <v>5</v>
      </c>
    </row>
    <row r="6">
      <c r="A6" s="6" t="s">
        <v>640</v>
      </c>
      <c r="B6" s="6" t="s">
        <v>253</v>
      </c>
      <c r="C6" s="6" t="s">
        <v>431</v>
      </c>
      <c r="L6" s="6">
        <f>IFERROR(__xludf.DUMMYFUNCTION("""COMPUTED_VALUE"""),7.0)</f>
        <v>7</v>
      </c>
    </row>
    <row r="7">
      <c r="A7" s="6" t="s">
        <v>641</v>
      </c>
      <c r="B7" s="6" t="s">
        <v>34</v>
      </c>
      <c r="C7" s="6" t="s">
        <v>429</v>
      </c>
      <c r="L7" s="6">
        <f>IFERROR(__xludf.DUMMYFUNCTION("""COMPUTED_VALUE"""),6.0)</f>
        <v>6</v>
      </c>
    </row>
    <row r="8">
      <c r="A8" s="6" t="s">
        <v>642</v>
      </c>
      <c r="B8" s="6" t="s">
        <v>643</v>
      </c>
      <c r="C8" s="6" t="s">
        <v>558</v>
      </c>
      <c r="L8" s="6">
        <f>IFERROR(__xludf.DUMMYFUNCTION("""COMPUTED_VALUE"""),8.0)</f>
        <v>8</v>
      </c>
    </row>
    <row r="9">
      <c r="A9" s="6" t="s">
        <v>644</v>
      </c>
      <c r="B9" s="6" t="s">
        <v>645</v>
      </c>
      <c r="C9" s="6" t="s">
        <v>435</v>
      </c>
      <c r="L9" s="6">
        <f>IFERROR(__xludf.DUMMYFUNCTION("""COMPUTED_VALUE"""),4.0)</f>
        <v>4</v>
      </c>
    </row>
    <row r="10">
      <c r="A10" s="6" t="s">
        <v>646</v>
      </c>
      <c r="B10" s="6" t="s">
        <v>647</v>
      </c>
      <c r="C10" s="6" t="s">
        <v>648</v>
      </c>
      <c r="L10" s="6">
        <f>IFERROR(__xludf.DUMMYFUNCTION("""COMPUTED_VALUE"""),7.0)</f>
        <v>7</v>
      </c>
    </row>
    <row r="11">
      <c r="A11" s="6" t="s">
        <v>649</v>
      </c>
      <c r="B11" s="6" t="s">
        <v>650</v>
      </c>
      <c r="C11" s="6" t="s">
        <v>426</v>
      </c>
    </row>
    <row r="13">
      <c r="A13" s="7" t="s">
        <v>25</v>
      </c>
    </row>
    <row r="14">
      <c r="A14" s="6" t="s">
        <v>2</v>
      </c>
      <c r="B14" s="6" t="s">
        <v>3</v>
      </c>
      <c r="C14" s="6" t="s">
        <v>4</v>
      </c>
    </row>
    <row r="15">
      <c r="A15" s="6" t="s">
        <v>651</v>
      </c>
      <c r="B15" s="6" t="s">
        <v>541</v>
      </c>
      <c r="C15" s="6" t="s">
        <v>452</v>
      </c>
    </row>
    <row r="16">
      <c r="A16" s="6" t="s">
        <v>652</v>
      </c>
      <c r="B16" s="6" t="s">
        <v>653</v>
      </c>
      <c r="C16" s="6" t="s">
        <v>431</v>
      </c>
    </row>
    <row r="17">
      <c r="A17" s="6" t="s">
        <v>654</v>
      </c>
      <c r="B17" s="6" t="s">
        <v>34</v>
      </c>
      <c r="C17" s="6" t="s">
        <v>429</v>
      </c>
    </row>
    <row r="18">
      <c r="A18" s="6" t="s">
        <v>655</v>
      </c>
      <c r="B18" s="6" t="s">
        <v>643</v>
      </c>
      <c r="C18" s="6" t="s">
        <v>558</v>
      </c>
    </row>
    <row r="19" ht="15.75" customHeight="1">
      <c r="A19" s="6" t="s">
        <v>656</v>
      </c>
      <c r="B19" s="6" t="s">
        <v>657</v>
      </c>
      <c r="C19" s="6" t="s">
        <v>435</v>
      </c>
    </row>
    <row r="20" ht="15.75" customHeight="1"/>
    <row r="21" ht="15.75" customHeight="1">
      <c r="A21" s="7" t="s">
        <v>38</v>
      </c>
    </row>
    <row r="22" ht="15.75" customHeight="1">
      <c r="A22" s="6" t="s">
        <v>2</v>
      </c>
      <c r="B22" s="6" t="s">
        <v>3</v>
      </c>
      <c r="C22" s="6" t="s">
        <v>4</v>
      </c>
    </row>
    <row r="23" ht="15.75" customHeight="1">
      <c r="A23" s="6" t="s">
        <v>658</v>
      </c>
      <c r="B23" s="6" t="s">
        <v>95</v>
      </c>
      <c r="C23" s="6" t="s">
        <v>452</v>
      </c>
    </row>
    <row r="24" ht="15.75" customHeight="1">
      <c r="A24" s="6" t="s">
        <v>659</v>
      </c>
      <c r="B24" s="6" t="s">
        <v>214</v>
      </c>
      <c r="C24" s="6" t="s">
        <v>429</v>
      </c>
    </row>
    <row r="25" ht="15.75" customHeight="1">
      <c r="A25" s="6" t="s">
        <v>660</v>
      </c>
      <c r="B25" s="6" t="s">
        <v>216</v>
      </c>
      <c r="C25" s="6" t="s">
        <v>433</v>
      </c>
    </row>
    <row r="26" ht="15.75" customHeight="1">
      <c r="A26" s="6" t="s">
        <v>661</v>
      </c>
      <c r="B26" s="6" t="s">
        <v>23</v>
      </c>
      <c r="C26" s="6" t="s">
        <v>435</v>
      </c>
    </row>
    <row r="27" ht="15.75" customHeight="1">
      <c r="A27" s="6" t="s">
        <v>662</v>
      </c>
      <c r="B27" s="6" t="s">
        <v>12</v>
      </c>
      <c r="C27" s="6" t="s">
        <v>426</v>
      </c>
    </row>
    <row r="28" ht="15.75" customHeight="1"/>
    <row r="29" ht="15.75" customHeight="1">
      <c r="A29" s="7" t="s">
        <v>55</v>
      </c>
    </row>
    <row r="30" ht="15.75" customHeight="1">
      <c r="A30" s="6" t="s">
        <v>2</v>
      </c>
      <c r="B30" s="6" t="s">
        <v>3</v>
      </c>
      <c r="C30" s="6" t="s">
        <v>4</v>
      </c>
    </row>
    <row r="31" ht="15.75" customHeight="1">
      <c r="A31" s="6" t="s">
        <v>658</v>
      </c>
      <c r="B31" s="6" t="s">
        <v>95</v>
      </c>
      <c r="C31" s="6" t="s">
        <v>7</v>
      </c>
    </row>
    <row r="32" ht="15.75" customHeight="1">
      <c r="A32" s="6" t="s">
        <v>640</v>
      </c>
      <c r="B32" s="6" t="s">
        <v>14</v>
      </c>
      <c r="C32" s="6" t="s">
        <v>15</v>
      </c>
    </row>
    <row r="33" ht="15.75" customHeight="1">
      <c r="A33" s="6" t="s">
        <v>663</v>
      </c>
      <c r="B33" s="6" t="s">
        <v>34</v>
      </c>
      <c r="C33" s="6" t="s">
        <v>35</v>
      </c>
    </row>
    <row r="34" ht="15.75" customHeight="1">
      <c r="A34" s="6" t="s">
        <v>655</v>
      </c>
      <c r="B34" s="6" t="s">
        <v>20</v>
      </c>
      <c r="C34" s="6" t="s">
        <v>21</v>
      </c>
    </row>
    <row r="35" ht="15.75" customHeight="1">
      <c r="A35" s="6" t="s">
        <v>644</v>
      </c>
      <c r="B35" s="6" t="s">
        <v>423</v>
      </c>
      <c r="C35" s="6" t="s">
        <v>24</v>
      </c>
    </row>
    <row r="36" ht="15.75" customHeight="1">
      <c r="A36" s="6" t="s">
        <v>664</v>
      </c>
      <c r="B36" s="6" t="s">
        <v>12</v>
      </c>
      <c r="C36" s="6" t="s">
        <v>12</v>
      </c>
    </row>
    <row r="37" ht="15.75" customHeight="1"/>
    <row r="38" ht="15.75" customHeight="1">
      <c r="A38" s="7" t="s">
        <v>70</v>
      </c>
    </row>
    <row r="39" ht="15.75" customHeight="1">
      <c r="A39" s="6" t="s">
        <v>2</v>
      </c>
      <c r="B39" s="6" t="s">
        <v>3</v>
      </c>
      <c r="C39" s="6" t="s">
        <v>4</v>
      </c>
    </row>
    <row r="40" ht="15.75" customHeight="1">
      <c r="A40" s="6" t="s">
        <v>658</v>
      </c>
      <c r="B40" s="6" t="s">
        <v>30</v>
      </c>
      <c r="C40" s="6" t="s">
        <v>7</v>
      </c>
    </row>
    <row r="41" ht="15.75" customHeight="1">
      <c r="A41" s="6" t="s">
        <v>665</v>
      </c>
      <c r="B41" s="6" t="s">
        <v>214</v>
      </c>
      <c r="C41" s="6" t="s">
        <v>35</v>
      </c>
    </row>
    <row r="42" ht="15.75" customHeight="1">
      <c r="A42" s="6" t="s">
        <v>666</v>
      </c>
      <c r="B42" s="6" t="s">
        <v>216</v>
      </c>
      <c r="C42" s="6" t="s">
        <v>18</v>
      </c>
    </row>
    <row r="43" ht="15.75" customHeight="1">
      <c r="A43" s="6" t="s">
        <v>667</v>
      </c>
      <c r="B43" s="6" t="s">
        <v>423</v>
      </c>
      <c r="C43" s="6" t="s">
        <v>24</v>
      </c>
    </row>
    <row r="44" ht="15.75" customHeight="1">
      <c r="A44" s="6" t="s">
        <v>668</v>
      </c>
      <c r="B44" s="6" t="s">
        <v>12</v>
      </c>
      <c r="C44" s="6" t="s">
        <v>12</v>
      </c>
    </row>
    <row r="45" ht="15.75" customHeight="1"/>
    <row r="46" ht="15.75" customHeight="1">
      <c r="A46" s="7" t="s">
        <v>77</v>
      </c>
    </row>
    <row r="47" ht="15.75" customHeight="1">
      <c r="A47" s="6" t="s">
        <v>2</v>
      </c>
      <c r="B47" s="6" t="s">
        <v>3</v>
      </c>
      <c r="C47" s="6" t="s">
        <v>4</v>
      </c>
    </row>
    <row r="48" ht="15.75" customHeight="1">
      <c r="A48" s="6" t="s">
        <v>669</v>
      </c>
      <c r="B48" s="6" t="s">
        <v>95</v>
      </c>
      <c r="C48" s="6" t="s">
        <v>7</v>
      </c>
    </row>
    <row r="49" ht="15.75" customHeight="1">
      <c r="A49" s="6" t="s">
        <v>670</v>
      </c>
      <c r="B49" s="6" t="s">
        <v>12</v>
      </c>
      <c r="C49" s="6" t="s">
        <v>12</v>
      </c>
    </row>
    <row r="50" ht="15.75" customHeight="1">
      <c r="A50" s="6" t="s">
        <v>671</v>
      </c>
      <c r="B50" s="6" t="s">
        <v>14</v>
      </c>
      <c r="C50" s="6" t="s">
        <v>15</v>
      </c>
    </row>
    <row r="51" ht="15.75" customHeight="1">
      <c r="A51" s="6" t="s">
        <v>672</v>
      </c>
      <c r="B51" s="6" t="s">
        <v>73</v>
      </c>
      <c r="C51" s="6" t="s">
        <v>35</v>
      </c>
    </row>
    <row r="52" ht="15.75" customHeight="1">
      <c r="A52" s="6" t="s">
        <v>673</v>
      </c>
      <c r="B52" s="6" t="s">
        <v>20</v>
      </c>
      <c r="C52" s="6" t="s">
        <v>21</v>
      </c>
    </row>
    <row r="53" ht="15.75" customHeight="1">
      <c r="A53" s="6" t="s">
        <v>674</v>
      </c>
      <c r="B53" s="6" t="s">
        <v>330</v>
      </c>
      <c r="C53" s="6" t="s">
        <v>24</v>
      </c>
    </row>
    <row r="54" ht="15.75" customHeight="1">
      <c r="A54" s="6" t="s">
        <v>675</v>
      </c>
      <c r="B54" s="6" t="s">
        <v>99</v>
      </c>
      <c r="C54" s="6" t="s">
        <v>54</v>
      </c>
    </row>
    <row r="55" ht="15.75" customHeight="1"/>
    <row r="56" ht="15.75" customHeight="1">
      <c r="A56" s="7" t="s">
        <v>84</v>
      </c>
    </row>
    <row r="57" ht="15.75" customHeight="1">
      <c r="A57" s="6" t="s">
        <v>2</v>
      </c>
      <c r="B57" s="6" t="s">
        <v>3</v>
      </c>
      <c r="C57" s="6" t="s">
        <v>4</v>
      </c>
    </row>
    <row r="58" ht="15.75" customHeight="1">
      <c r="A58" s="6" t="s">
        <v>522</v>
      </c>
      <c r="B58" s="6" t="s">
        <v>95</v>
      </c>
      <c r="C58" s="6" t="s">
        <v>7</v>
      </c>
    </row>
    <row r="59" ht="15.75" customHeight="1">
      <c r="A59" s="6" t="s">
        <v>676</v>
      </c>
      <c r="B59" s="6" t="s">
        <v>14</v>
      </c>
      <c r="C59" s="6" t="s">
        <v>15</v>
      </c>
    </row>
    <row r="60" ht="15.75" customHeight="1">
      <c r="A60" s="6" t="s">
        <v>677</v>
      </c>
      <c r="B60" s="6" t="s">
        <v>73</v>
      </c>
      <c r="C60" s="6" t="s">
        <v>35</v>
      </c>
    </row>
    <row r="61" ht="15.75" customHeight="1">
      <c r="A61" s="6" t="s">
        <v>678</v>
      </c>
      <c r="B61" s="6" t="s">
        <v>216</v>
      </c>
      <c r="C61" s="6" t="s">
        <v>18</v>
      </c>
    </row>
    <row r="62" ht="15.75" customHeight="1">
      <c r="A62" s="6" t="s">
        <v>679</v>
      </c>
      <c r="B62" s="6" t="s">
        <v>12</v>
      </c>
      <c r="C62" s="6" t="s">
        <v>12</v>
      </c>
    </row>
    <row r="63" ht="15.75" customHeight="1">
      <c r="A63" s="6" t="s">
        <v>680</v>
      </c>
      <c r="B63" s="6" t="s">
        <v>23</v>
      </c>
      <c r="C63" s="6" t="s">
        <v>24</v>
      </c>
    </row>
    <row r="64" ht="15.75" customHeight="1"/>
    <row r="65" ht="15.75" customHeight="1">
      <c r="A65" s="7" t="s">
        <v>92</v>
      </c>
    </row>
    <row r="66" ht="15.75" customHeight="1">
      <c r="A66" s="6" t="s">
        <v>2</v>
      </c>
      <c r="B66" s="6" t="s">
        <v>3</v>
      </c>
      <c r="C66" s="6" t="s">
        <v>4</v>
      </c>
    </row>
    <row r="67" ht="15.75" customHeight="1">
      <c r="A67" s="6" t="s">
        <v>681</v>
      </c>
      <c r="B67" s="6" t="s">
        <v>95</v>
      </c>
      <c r="C67" s="6" t="s">
        <v>7</v>
      </c>
    </row>
    <row r="68" ht="15.75" customHeight="1">
      <c r="A68" s="6" t="s">
        <v>682</v>
      </c>
      <c r="B68" s="6" t="s">
        <v>12</v>
      </c>
      <c r="C68" s="6" t="s">
        <v>12</v>
      </c>
    </row>
    <row r="69" ht="15.75" customHeight="1">
      <c r="A69" s="6" t="s">
        <v>683</v>
      </c>
      <c r="B69" s="6" t="s">
        <v>14</v>
      </c>
      <c r="C69" s="6" t="s">
        <v>15</v>
      </c>
    </row>
    <row r="70" ht="15.75" customHeight="1">
      <c r="A70" s="6" t="s">
        <v>684</v>
      </c>
      <c r="B70" s="6" t="s">
        <v>73</v>
      </c>
      <c r="C70" s="6" t="s">
        <v>35</v>
      </c>
    </row>
    <row r="71" ht="15.75" customHeight="1">
      <c r="A71" s="6" t="s">
        <v>685</v>
      </c>
      <c r="B71" s="6" t="s">
        <v>18</v>
      </c>
      <c r="C71" s="6" t="s">
        <v>18</v>
      </c>
    </row>
    <row r="72" ht="15.75" customHeight="1">
      <c r="A72" s="6" t="s">
        <v>686</v>
      </c>
      <c r="B72" s="6" t="s">
        <v>20</v>
      </c>
      <c r="C72" s="6" t="s">
        <v>21</v>
      </c>
    </row>
    <row r="73" ht="15.75" customHeight="1">
      <c r="A73" s="6" t="s">
        <v>687</v>
      </c>
      <c r="B73" s="6" t="s">
        <v>449</v>
      </c>
      <c r="C73" s="6" t="s">
        <v>24</v>
      </c>
    </row>
    <row r="74" ht="15.75" customHeight="1">
      <c r="A74" s="6" t="s">
        <v>688</v>
      </c>
      <c r="B74" s="6" t="s">
        <v>320</v>
      </c>
      <c r="C74" s="6" t="s">
        <v>69</v>
      </c>
    </row>
    <row r="75" ht="15.75" customHeight="1"/>
    <row r="76" ht="15.75" customHeight="1">
      <c r="A76" s="7" t="s">
        <v>93</v>
      </c>
    </row>
    <row r="77" ht="15.75" customHeight="1">
      <c r="A77" s="6" t="s">
        <v>2</v>
      </c>
      <c r="B77" s="6" t="s">
        <v>3</v>
      </c>
      <c r="C77" s="6" t="s">
        <v>4</v>
      </c>
    </row>
    <row r="78" ht="15.75" customHeight="1">
      <c r="A78" s="6" t="s">
        <v>658</v>
      </c>
      <c r="B78" s="6" t="s">
        <v>95</v>
      </c>
      <c r="C78" s="6" t="s">
        <v>7</v>
      </c>
    </row>
    <row r="79" ht="15.75" customHeight="1">
      <c r="A79" s="6" t="s">
        <v>689</v>
      </c>
      <c r="B79" s="6" t="s">
        <v>214</v>
      </c>
      <c r="C79" s="6" t="s">
        <v>35</v>
      </c>
    </row>
    <row r="80" ht="15.75" customHeight="1">
      <c r="A80" s="6" t="s">
        <v>690</v>
      </c>
      <c r="B80" s="6" t="s">
        <v>219</v>
      </c>
      <c r="C80" s="6" t="s">
        <v>12</v>
      </c>
    </row>
    <row r="81" ht="15.75" customHeight="1">
      <c r="A81" s="6" t="s">
        <v>691</v>
      </c>
      <c r="B81" s="6" t="s">
        <v>23</v>
      </c>
      <c r="C81" s="6" t="s">
        <v>24</v>
      </c>
    </row>
    <row r="82" ht="15.75" customHeight="1"/>
    <row r="83" ht="15.75" customHeight="1">
      <c r="A83" s="7" t="s">
        <v>101</v>
      </c>
    </row>
    <row r="84" ht="15.75" customHeight="1">
      <c r="A84" s="6" t="s">
        <v>2</v>
      </c>
      <c r="B84" s="6" t="s">
        <v>3</v>
      </c>
      <c r="C84" s="6" t="s">
        <v>4</v>
      </c>
    </row>
    <row r="85" ht="15.75" customHeight="1">
      <c r="A85" s="6" t="s">
        <v>658</v>
      </c>
      <c r="B85" s="6" t="s">
        <v>95</v>
      </c>
      <c r="C85" s="6" t="s">
        <v>452</v>
      </c>
    </row>
    <row r="86" ht="15.75" customHeight="1">
      <c r="A86" s="6" t="s">
        <v>692</v>
      </c>
      <c r="B86" s="6" t="s">
        <v>693</v>
      </c>
      <c r="C86" s="6" t="s">
        <v>429</v>
      </c>
    </row>
    <row r="87" ht="15.75" customHeight="1">
      <c r="A87" s="6" t="s">
        <v>694</v>
      </c>
      <c r="B87" s="6" t="s">
        <v>14</v>
      </c>
      <c r="C87" s="6" t="s">
        <v>431</v>
      </c>
    </row>
    <row r="88" ht="15.75" customHeight="1">
      <c r="A88" s="6" t="s">
        <v>695</v>
      </c>
      <c r="B88" s="6" t="s">
        <v>226</v>
      </c>
      <c r="C88" s="6" t="s">
        <v>433</v>
      </c>
    </row>
    <row r="89" ht="15.75" customHeight="1">
      <c r="A89" s="6" t="s">
        <v>696</v>
      </c>
      <c r="B89" s="6" t="s">
        <v>447</v>
      </c>
      <c r="C89" s="6" t="s">
        <v>558</v>
      </c>
    </row>
    <row r="90" ht="15.75" customHeight="1">
      <c r="A90" s="6" t="s">
        <v>697</v>
      </c>
      <c r="B90" s="6" t="s">
        <v>698</v>
      </c>
      <c r="C90" s="6" t="s">
        <v>435</v>
      </c>
    </row>
    <row r="91" ht="15.75" customHeight="1">
      <c r="A91" s="6" t="s">
        <v>699</v>
      </c>
      <c r="B91" s="6" t="s">
        <v>75</v>
      </c>
      <c r="C91" s="6" t="s">
        <v>426</v>
      </c>
    </row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</cp:coreProperties>
</file>